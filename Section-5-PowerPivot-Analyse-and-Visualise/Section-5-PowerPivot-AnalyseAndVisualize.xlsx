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jadon\Desktop\Excel_Learning\"/>
    </mc:Choice>
  </mc:AlternateContent>
  <xr:revisionPtr revIDLastSave="0" documentId="13_ncr:1_{9F5861D2-BBB6-4BB9-9D4A-386860992C0A}" xr6:coauthVersionLast="47" xr6:coauthVersionMax="47" xr10:uidLastSave="{00000000-0000-0000-0000-000000000000}"/>
  <bookViews>
    <workbookView xWindow="-108" yWindow="-108" windowWidth="23256" windowHeight="12456" firstSheet="7" activeTab="10" xr2:uid="{B5D9E2A7-E94C-46A1-B14B-6802F7AC715C}"/>
  </bookViews>
  <sheets>
    <sheet name="KPIs Visuals" sheetId="14" r:id="rId1"/>
    <sheet name="Dashboard" sheetId="13" r:id="rId2"/>
    <sheet name="Line Chart" sheetId="8" r:id="rId3"/>
    <sheet name="Bar Chart" sheetId="7" r:id="rId4"/>
    <sheet name="Stacked Column Chart" sheetId="6" r:id="rId5"/>
    <sheet name="Sheet3" sheetId="3" r:id="rId6"/>
    <sheet name="Area Chart" sheetId="10" r:id="rId7"/>
    <sheet name="Pie Chart" sheetId="9" r:id="rId8"/>
    <sheet name="Sheet12" sheetId="12" r:id="rId9"/>
    <sheet name="Main Data" sheetId="1" r:id="rId10"/>
    <sheet name="Sheet15" sheetId="15" r:id="rId11"/>
    <sheet name="Sheet4" sheetId="4" r:id="rId12"/>
    <sheet name="Sheet2" sheetId="2" r:id="rId13"/>
  </sheets>
  <definedNames>
    <definedName name="_xlchart.v1.0" hidden="1">Sheet15!$C$21</definedName>
    <definedName name="_xlchart.v1.1" hidden="1">Sheet15!$C$2:$C$20</definedName>
    <definedName name="_xlchart.v1.11" hidden="1">Sheet15!$A$2:$C$21</definedName>
    <definedName name="_xlchart.v1.12" hidden="1">Sheet15!$C$1</definedName>
    <definedName name="_xlchart.v1.13" hidden="1">Sheet15!$C$2:$C$21</definedName>
    <definedName name="_xlchart.v1.14" hidden="1">Sheet15!$D$1</definedName>
    <definedName name="_xlchart.v1.15" hidden="1">Sheet15!$D$2:$D$21</definedName>
    <definedName name="_xlchart.v1.16" hidden="1">Sheet15!$E$1</definedName>
    <definedName name="_xlchart.v1.17" hidden="1">Sheet15!$E$20:$E$21</definedName>
    <definedName name="_xlchart.v1.18" hidden="1">Sheet15!$E$2:$E$20</definedName>
    <definedName name="_xlchart.v1.19" hidden="1">Sheet15!$E$2:$E$21</definedName>
    <definedName name="_xlchart.v1.2" hidden="1">Sheet15!$I$25:$I$28</definedName>
    <definedName name="_xlchart.v1.3" hidden="1">Sheet15!$J$24</definedName>
    <definedName name="_xlchart.v1.4" hidden="1">Sheet15!$J$25:$J$28</definedName>
    <definedName name="_xlchart.v1.5" hidden="1">Sheet15!$I$25:$I$28</definedName>
    <definedName name="_xlchart.v1.6" hidden="1">Sheet15!$J$24</definedName>
    <definedName name="_xlchart.v1.7" hidden="1">Sheet15!$J$25:$J$28</definedName>
    <definedName name="_xlchart.v2.10" hidden="1">Sheet15!$Q$28:$Q$30</definedName>
    <definedName name="_xlchart.v2.8" hidden="1">Sheet15!$P$28:$P$30</definedName>
    <definedName name="_xlchart.v2.9" hidden="1">Sheet15!$Q$27</definedName>
    <definedName name="_xlcn.WorksheetConnection_Book1Table11" hidden="1">Table1[]</definedName>
    <definedName name="Slicer_Region">#N/A</definedName>
    <definedName name="Timeline_Date">#N/A</definedName>
  </definedNames>
  <calcPr calcId="191029"/>
  <pivotCaches>
    <pivotCache cacheId="137" r:id="rId14"/>
    <pivotCache cacheId="1874" r:id="rId15"/>
    <pivotCache cacheId="1877" r:id="rId16"/>
    <pivotCache cacheId="1880" r:id="rId17"/>
    <pivotCache cacheId="1883" r:id="rId18"/>
    <pivotCache cacheId="1886" r:id="rId19"/>
    <pivotCache cacheId="1889" r:id="rId20"/>
    <pivotCache cacheId="1892" r:id="rId21"/>
    <pivotCache cacheId="1895" r:id="rId22"/>
    <pivotCache cacheId="1904" r:id="rId23"/>
  </pivotCaches>
  <extLst>
    <ext xmlns:x14="http://schemas.microsoft.com/office/spreadsheetml/2009/9/main" uri="{876F7934-8845-4945-9796-88D515C7AA90}">
      <x14:pivotCaches>
        <pivotCache cacheId="1872" r:id="rId24"/>
      </x14:pivotCaches>
    </ex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73"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8" i="15" l="1"/>
  <c r="J26" i="15"/>
  <c r="J27" i="15" s="1"/>
  <c r="F3" i="15"/>
  <c r="F4" i="15"/>
  <c r="F5" i="15"/>
  <c r="F6" i="15"/>
  <c r="F7" i="15"/>
  <c r="F8" i="15"/>
  <c r="F9" i="15"/>
  <c r="F10" i="15"/>
  <c r="F11" i="15"/>
  <c r="F12" i="15"/>
  <c r="F13" i="15"/>
  <c r="F14" i="15"/>
  <c r="F15" i="15"/>
  <c r="F16" i="15"/>
  <c r="F17" i="15"/>
  <c r="F18" i="15"/>
  <c r="F19" i="15"/>
  <c r="F20" i="15"/>
  <c r="F21" i="15"/>
  <c r="F2" i="15"/>
  <c r="Q30" i="15"/>
  <c r="Q29" i="15"/>
  <c r="Q28" i="15"/>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55AD7C-44E3-4B2C-9F00-B95B765AED4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BD012A5-ADB3-41F7-A1B4-A6A0F9CFAFEA}" name="WorksheetConnection_Book1!Table1" type="102" refreshedVersion="8" minRefreshableVersion="5">
    <extLst>
      <ext xmlns:x15="http://schemas.microsoft.com/office/spreadsheetml/2010/11/main" uri="{DE250136-89BD-433C-8126-D09CA5730AF9}">
        <x15:connection id="Table1">
          <x15:rangePr sourceName="_xlcn.WorksheetConnection_Book1Table11"/>
        </x15:connection>
      </ext>
    </extLst>
  </connection>
</connections>
</file>

<file path=xl/sharedStrings.xml><?xml version="1.0" encoding="utf-8"?>
<sst xmlns="http://schemas.openxmlformats.org/spreadsheetml/2006/main" count="1180" uniqueCount="74">
  <si>
    <t>SaleID</t>
  </si>
  <si>
    <t>Region</t>
  </si>
  <si>
    <t>Category</t>
  </si>
  <si>
    <t>Product</t>
  </si>
  <si>
    <t>Date</t>
  </si>
  <si>
    <t>Sales</t>
  </si>
  <si>
    <t>Target</t>
  </si>
  <si>
    <t>Year</t>
  </si>
  <si>
    <t>Quarter</t>
  </si>
  <si>
    <t>Month</t>
  </si>
  <si>
    <t>East</t>
  </si>
  <si>
    <t>Electronics</t>
  </si>
  <si>
    <t>Laptop</t>
  </si>
  <si>
    <t>2023Q2</t>
  </si>
  <si>
    <t>May</t>
  </si>
  <si>
    <t>West</t>
  </si>
  <si>
    <t>Books</t>
  </si>
  <si>
    <t>Fiction</t>
  </si>
  <si>
    <t>2023Q1</t>
  </si>
  <si>
    <t>January</t>
  </si>
  <si>
    <t>North</t>
  </si>
  <si>
    <t>Furniture</t>
  </si>
  <si>
    <t>Sofa</t>
  </si>
  <si>
    <t>2023Q4</t>
  </si>
  <si>
    <t>October</t>
  </si>
  <si>
    <t>Table</t>
  </si>
  <si>
    <t>South</t>
  </si>
  <si>
    <t>Clothing</t>
  </si>
  <si>
    <t>Pants</t>
  </si>
  <si>
    <t>April</t>
  </si>
  <si>
    <t>Food</t>
  </si>
  <si>
    <t>Bread</t>
  </si>
  <si>
    <t>June</t>
  </si>
  <si>
    <t>Fruits</t>
  </si>
  <si>
    <t>2023Q3</t>
  </si>
  <si>
    <t>July</t>
  </si>
  <si>
    <t>Science</t>
  </si>
  <si>
    <t>December</t>
  </si>
  <si>
    <t>Shirt</t>
  </si>
  <si>
    <t>February</t>
  </si>
  <si>
    <t>Headphones</t>
  </si>
  <si>
    <t>Milk</t>
  </si>
  <si>
    <t>Chair</t>
  </si>
  <si>
    <t>History</t>
  </si>
  <si>
    <t>March</t>
  </si>
  <si>
    <t>August</t>
  </si>
  <si>
    <t>Jacket</t>
  </si>
  <si>
    <t>September</t>
  </si>
  <si>
    <t>November</t>
  </si>
  <si>
    <t>Smartphone</t>
  </si>
  <si>
    <t>2024Q1</t>
  </si>
  <si>
    <t>Qauntity</t>
  </si>
  <si>
    <t>Unit Price</t>
  </si>
  <si>
    <t>Row Labels</t>
  </si>
  <si>
    <t>Grand Total</t>
  </si>
  <si>
    <t>Sum of Sales</t>
  </si>
  <si>
    <t>Sum of SalesWithRevenue</t>
  </si>
  <si>
    <t>2023</t>
  </si>
  <si>
    <t>Regions</t>
  </si>
  <si>
    <t>Total Profit</t>
  </si>
  <si>
    <t>Total Revenue</t>
  </si>
  <si>
    <t>Trend Column</t>
  </si>
  <si>
    <t>Trend</t>
  </si>
  <si>
    <t>Sum of Target Achievement</t>
  </si>
  <si>
    <t>Total Revenue Status</t>
  </si>
  <si>
    <t>Target Left</t>
  </si>
  <si>
    <t>Checkbox</t>
  </si>
  <si>
    <t>Stage</t>
  </si>
  <si>
    <t>Value</t>
  </si>
  <si>
    <t>Total Quantity</t>
  </si>
  <si>
    <t>Quantity &gt; 2</t>
  </si>
  <si>
    <t>Start</t>
  </si>
  <si>
    <t>Total Cost</t>
  </si>
  <si>
    <t>Total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</si>
</sst>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quot;₹&quot;\ #,##0.00"/>
    <numFmt numFmtId="167" formatCode="&quot;₹&quot;\ #,##0.00;#,##0.00\ \-&quot;₹&quot;;&quot;₹&quot;\ #,##0.00"/>
    <numFmt numFmtId="168" formatCode="#,##0.00%;\-#,##0.00%;#,##0.00%"/>
  </numFmts>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0"/>
      </left>
      <right style="thin">
        <color theme="0"/>
      </right>
      <top/>
      <bottom style="thin">
        <color theme="0"/>
      </bottom>
      <diagonal/>
    </border>
  </borders>
  <cellStyleXfs count="1">
    <xf numFmtId="0" fontId="0" fillId="0" borderId="0"/>
  </cellStyleXfs>
  <cellXfs count="25">
    <xf numFmtId="0" fontId="0" fillId="0" borderId="0" xfId="0"/>
    <xf numFmtId="0" fontId="0" fillId="3" borderId="1" xfId="0" applyFont="1" applyFill="1" applyBorder="1"/>
    <xf numFmtId="0" fontId="0" fillId="3" borderId="2" xfId="0" applyFont="1" applyFill="1" applyBorder="1"/>
    <xf numFmtId="0" fontId="0" fillId="4" borderId="1" xfId="0" applyFont="1" applyFill="1" applyBorder="1"/>
    <xf numFmtId="0" fontId="0" fillId="4" borderId="2" xfId="0" applyFont="1" applyFill="1" applyBorder="1"/>
    <xf numFmtId="0" fontId="0" fillId="4" borderId="3" xfId="0" applyFont="1" applyFill="1" applyBorder="1"/>
    <xf numFmtId="0" fontId="0" fillId="4" borderId="4" xfId="0" applyFont="1" applyFill="1" applyBorder="1"/>
    <xf numFmtId="0" fontId="0" fillId="0" borderId="0" xfId="0" applyNumberFormat="1"/>
    <xf numFmtId="14" fontId="0" fillId="3" borderId="1" xfId="0" applyNumberFormat="1" applyFont="1" applyFill="1" applyBorder="1"/>
    <xf numFmtId="14" fontId="0" fillId="4" borderId="1" xfId="0" applyNumberFormat="1" applyFont="1" applyFill="1" applyBorder="1"/>
    <xf numFmtId="14" fontId="0" fillId="4" borderId="3" xfId="0" applyNumberFormat="1" applyFont="1" applyFill="1" applyBorder="1"/>
    <xf numFmtId="0" fontId="1" fillId="2" borderId="5" xfId="0" applyFont="1" applyFill="1" applyBorder="1"/>
    <xf numFmtId="0" fontId="1" fillId="2" borderId="6" xfId="0" applyFont="1" applyFill="1" applyBorder="1"/>
    <xf numFmtId="0" fontId="0" fillId="4" borderId="5" xfId="0" applyFont="1" applyFill="1" applyBorder="1"/>
    <xf numFmtId="0" fontId="0" fillId="0" borderId="5" xfId="0" applyFont="1" applyBorder="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4" fontId="0" fillId="0" borderId="0" xfId="0" applyNumberFormat="1" applyAlignment="1">
      <alignment horizontal="left"/>
    </xf>
    <xf numFmtId="168" fontId="0" fillId="0" borderId="0" xfId="0" applyNumberFormat="1"/>
    <xf numFmtId="0" fontId="0" fillId="4" borderId="7" xfId="0" applyFont="1" applyFill="1" applyBorder="1"/>
    <xf numFmtId="0" fontId="0" fillId="4" borderId="5" xfId="0" applyNumberFormat="1" applyFont="1" applyFill="1" applyBorder="1"/>
    <xf numFmtId="0" fontId="0" fillId="0" borderId="5" xfId="0" applyNumberFormat="1" applyFont="1" applyBorder="1"/>
    <xf numFmtId="0" fontId="1" fillId="2" borderId="0" xfId="0" applyFont="1" applyFill="1" applyBorder="1"/>
  </cellXfs>
  <cellStyles count="1">
    <cellStyle name="Normal" xfId="0" builtinId="0"/>
  </cellStyles>
  <dxfs count="15">
    <dxf>
      <font>
        <color rgb="FF006100"/>
      </font>
      <fill>
        <patternFill>
          <bgColor rgb="FFC6EFCE"/>
        </patternFill>
      </fill>
    </dxf>
    <dxf>
      <font>
        <b val="0"/>
        <i/>
        <color rgb="FFFF0000"/>
      </font>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2.xml"/><Relationship Id="rId39" Type="http://schemas.openxmlformats.org/officeDocument/2006/relationships/customXml" Target="../customXml/item6.xml"/><Relationship Id="rId21" Type="http://schemas.openxmlformats.org/officeDocument/2006/relationships/pivotCacheDefinition" Target="pivotCache/pivotCacheDefinition8.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onnections" Target="connections.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7.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[Section-5-PowerPivot-AnalyseAndVisualize.xlsx]Stacked Column Chart!PivotTable3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'Stacked Column Chart'!$C$3</c:f>
              <c:strCache>
                <c:ptCount val="1"/>
                <c:pt idx="0">
                  <c:v>Total</c:v>
                </c:pt>
              </c:strCache>
            </c:strRef>
          </c:tx>
          <c:spPr>
            <a:solidFill>
              <a:schemeClr val="accent1"/>
            </a:solidFill>
            <a:ln>
              <a:noFill/>
            </a:ln>
            <a:effectLst/>
          </c:spPr>
          <c:invertIfNegative val="0"/>
          <c:cat>
            <c:strRef>
              <c:f>'Stacked Column Chart'!$B$4:$B$8</c:f>
              <c:strCache>
                <c:ptCount val="4"/>
                <c:pt idx="0">
                  <c:v>East</c:v>
                </c:pt>
                <c:pt idx="1">
                  <c:v>North</c:v>
                </c:pt>
                <c:pt idx="2">
                  <c:v>South</c:v>
                </c:pt>
                <c:pt idx="3">
                  <c:v>West</c:v>
                </c:pt>
              </c:strCache>
            </c:strRef>
          </c:cat>
          <c:val>
            <c:numRef>
              <c:f>'Stacked Column Chart'!$C$4:$C$8</c:f>
              <c:numCache>
                <c:formatCode>"₹"\ #,##0.00;#,##0.00\ \-"₹";"₹"\ #,##0.00</c:formatCode>
                <c:ptCount val="4"/>
                <c:pt idx="0">
                  <c:v>44341</c:v>
                </c:pt>
                <c:pt idx="1">
                  <c:v>27884</c:v>
                </c:pt>
                <c:pt idx="2">
                  <c:v>53193</c:v>
                </c:pt>
                <c:pt idx="3">
                  <c:v>20764</c:v>
                </c:pt>
              </c:numCache>
            </c:numRef>
          </c:val>
          <c:extLst>
            <c:ext xmlns:c16="http://schemas.microsoft.com/office/drawing/2014/chart" uri="{C3380CC4-5D6E-409C-BE32-E72D297353CC}">
              <c16:uniqueId val="{00000007-EC2C-45FE-9505-A1953647E99F}"/>
            </c:ext>
          </c:extLst>
        </c:ser>
        <c:dLbls>
          <c:showLegendKey val="0"/>
          <c:showVal val="0"/>
          <c:showCatName val="0"/>
          <c:showSerName val="0"/>
          <c:showPercent val="0"/>
          <c:showBubbleSize val="0"/>
        </c:dLbls>
        <c:gapWidth val="150"/>
        <c:overlap val="100"/>
        <c:axId val="977182607"/>
        <c:axId val="924961391"/>
      </c:barChart>
      <c:catAx>
        <c:axId val="97718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61391"/>
        <c:crosses val="autoZero"/>
        <c:auto val="1"/>
        <c:lblAlgn val="ctr"/>
        <c:lblOffset val="100"/>
        <c:noMultiLvlLbl val="0"/>
      </c:catAx>
      <c:valAx>
        <c:axId val="924961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8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[Section-5-PowerPivot-AnalyseAndVisualize.xlsx]Bar Chart!PivotTable4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 Chart'!$C$3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Chart'!$B$4:$B$8</c:f>
              <c:strCache>
                <c:ptCount val="4"/>
                <c:pt idx="0">
                  <c:v>East</c:v>
                </c:pt>
                <c:pt idx="1">
                  <c:v>North</c:v>
                </c:pt>
                <c:pt idx="2">
                  <c:v>South</c:v>
                </c:pt>
                <c:pt idx="3">
                  <c:v>West</c:v>
                </c:pt>
              </c:strCache>
            </c:strRef>
          </c:cat>
          <c:val>
            <c:numRef>
              <c:f>'Bar Chart'!$C$4:$C$8</c:f>
              <c:numCache>
                <c:formatCode>"₹"\ #,##0.00;#,##0.00\ \-"₹";"₹"\ #,##0.00</c:formatCode>
                <c:ptCount val="4"/>
                <c:pt idx="0">
                  <c:v>7981.38</c:v>
                </c:pt>
                <c:pt idx="1">
                  <c:v>5019.12</c:v>
                </c:pt>
                <c:pt idx="2">
                  <c:v>9574.74</c:v>
                </c:pt>
                <c:pt idx="3">
                  <c:v>3737.52</c:v>
                </c:pt>
              </c:numCache>
            </c:numRef>
          </c:val>
          <c:extLst>
            <c:ext xmlns:c16="http://schemas.microsoft.com/office/drawing/2014/chart" uri="{C3380CC4-5D6E-409C-BE32-E72D297353CC}">
              <c16:uniqueId val="{00000007-56AC-4BDF-99C5-20F433E59C9E}"/>
            </c:ext>
          </c:extLst>
        </c:ser>
        <c:dLbls>
          <c:showLegendKey val="0"/>
          <c:showVal val="1"/>
          <c:showCatName val="0"/>
          <c:showSerName val="0"/>
          <c:showPercent val="0"/>
          <c:showBubbleSize val="0"/>
        </c:dLbls>
        <c:gapWidth val="150"/>
        <c:overlap val="100"/>
        <c:axId val="1506611759"/>
        <c:axId val="924974831"/>
      </c:barChart>
      <c:catAx>
        <c:axId val="150661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74831"/>
        <c:crosses val="autoZero"/>
        <c:auto val="1"/>
        <c:lblAlgn val="ctr"/>
        <c:lblOffset val="100"/>
        <c:noMultiLvlLbl val="0"/>
      </c:catAx>
      <c:valAx>
        <c:axId val="9249748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61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[Section-5-PowerPivot-AnalyseAndVisualize.xlsx]Sheet12!PivotTable9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Sheet12!$C$3</c:f>
              <c:strCache>
                <c:ptCount val="1"/>
                <c:pt idx="0">
                  <c:v>Total Revenue</c:v>
                </c:pt>
              </c:strCache>
            </c:strRef>
          </c:tx>
          <c:spPr>
            <a:solidFill>
              <a:schemeClr val="accent1"/>
            </a:solidFill>
            <a:ln>
              <a:noFill/>
            </a:ln>
            <a:effectLst/>
          </c:spPr>
          <c:invertIfNegative val="0"/>
          <c:cat>
            <c:strRef>
              <c:f>Sheet12!$B$4:$B$8</c:f>
              <c:strCache>
                <c:ptCount val="4"/>
                <c:pt idx="0">
                  <c:v>East</c:v>
                </c:pt>
                <c:pt idx="1">
                  <c:v>North</c:v>
                </c:pt>
                <c:pt idx="2">
                  <c:v>South</c:v>
                </c:pt>
                <c:pt idx="3">
                  <c:v>West</c:v>
                </c:pt>
              </c:strCache>
            </c:strRef>
          </c:cat>
          <c:val>
            <c:numRef>
              <c:f>Sheet12!$C$4:$C$8</c:f>
              <c:numCache>
                <c:formatCode>"₹"\ #,##0.00;#,##0.00\ \-"₹";"₹"\ #,##0.00</c:formatCode>
                <c:ptCount val="4"/>
                <c:pt idx="0">
                  <c:v>44341</c:v>
                </c:pt>
                <c:pt idx="1">
                  <c:v>27884</c:v>
                </c:pt>
                <c:pt idx="2">
                  <c:v>53193</c:v>
                </c:pt>
                <c:pt idx="3">
                  <c:v>20764</c:v>
                </c:pt>
              </c:numCache>
            </c:numRef>
          </c:val>
          <c:extLst>
            <c:ext xmlns:c16="http://schemas.microsoft.com/office/drawing/2014/chart" uri="{C3380CC4-5D6E-409C-BE32-E72D297353CC}">
              <c16:uniqueId val="{0000000D-C5B2-4EE5-8670-8A841D7D2E43}"/>
            </c:ext>
          </c:extLst>
        </c:ser>
        <c:ser>
          <c:idx val="1"/>
          <c:order val="1"/>
          <c:tx>
            <c:strRef>
              <c:f>Sheet12!$D$3</c:f>
              <c:strCache>
                <c:ptCount val="1"/>
                <c:pt idx="0">
                  <c:v>Total Profit</c:v>
                </c:pt>
              </c:strCache>
            </c:strRef>
          </c:tx>
          <c:spPr>
            <a:solidFill>
              <a:schemeClr val="accent2"/>
            </a:solidFill>
            <a:ln w="25400">
              <a:noFill/>
            </a:ln>
            <a:effectLst/>
          </c:spPr>
          <c:invertIfNegative val="0"/>
          <c:cat>
            <c:strRef>
              <c:f>Sheet12!$B$4:$B$8</c:f>
              <c:strCache>
                <c:ptCount val="4"/>
                <c:pt idx="0">
                  <c:v>East</c:v>
                </c:pt>
                <c:pt idx="1">
                  <c:v>North</c:v>
                </c:pt>
                <c:pt idx="2">
                  <c:v>South</c:v>
                </c:pt>
                <c:pt idx="3">
                  <c:v>West</c:v>
                </c:pt>
              </c:strCache>
            </c:strRef>
          </c:cat>
          <c:val>
            <c:numRef>
              <c:f>Sheet12!$D$4:$D$8</c:f>
              <c:numCache>
                <c:formatCode>"₹"\ #,##0.00;#,##0.00\ \-"₹";"₹"\ #,##0.00</c:formatCode>
                <c:ptCount val="4"/>
                <c:pt idx="0">
                  <c:v>7981.38</c:v>
                </c:pt>
                <c:pt idx="1">
                  <c:v>5019.12</c:v>
                </c:pt>
                <c:pt idx="2">
                  <c:v>9574.74</c:v>
                </c:pt>
                <c:pt idx="3">
                  <c:v>3737.52</c:v>
                </c:pt>
              </c:numCache>
            </c:numRef>
          </c:val>
          <c:extLst>
            <c:ext xmlns:c16="http://schemas.microsoft.com/office/drawing/2014/chart" uri="{C3380CC4-5D6E-409C-BE32-E72D297353CC}">
              <c16:uniqueId val="{0000000E-C5B2-4EE5-8670-8A841D7D2E43}"/>
            </c:ext>
          </c:extLst>
        </c:ser>
        <c:dLbls>
          <c:showLegendKey val="0"/>
          <c:showVal val="0"/>
          <c:showCatName val="0"/>
          <c:showSerName val="0"/>
          <c:showPercent val="0"/>
          <c:showBubbleSize val="0"/>
        </c:dLbls>
        <c:gapWidth val="219"/>
        <c:overlap val="100"/>
        <c:axId val="2015809263"/>
        <c:axId val="924920591"/>
      </c:barChart>
      <c:valAx>
        <c:axId val="924920591"/>
        <c:scaling>
          <c:orientation val="minMax"/>
        </c:scaling>
        <c:delete val="0"/>
        <c:axPos val="r"/>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09263"/>
        <c:crosses val="max"/>
        <c:crossBetween val="between"/>
      </c:valAx>
      <c:catAx>
        <c:axId val="201580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2059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[Section-5-PowerPivot-AnalyseAndVisualize.xlsx]Pie Chart!PivotTable6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'Pie Chart'!$C$3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Chart'!$B$4:$B$9</c:f>
              <c:strCache>
                <c:ptCount val="5"/>
                <c:pt idx="0">
                  <c:v>Books</c:v>
                </c:pt>
                <c:pt idx="1">
                  <c:v>Clothing</c:v>
                </c:pt>
                <c:pt idx="2">
                  <c:v>Electronics</c:v>
                </c:pt>
                <c:pt idx="3">
                  <c:v>Food</c:v>
                </c:pt>
                <c:pt idx="4">
                  <c:v>Furniture</c:v>
                </c:pt>
              </c:strCache>
            </c:strRef>
          </c:cat>
          <c:val>
            <c:numRef>
              <c:f>'Pie Chart'!$C$4:$C$9</c:f>
              <c:numCache>
                <c:formatCode>"₹"\ #,##0.00;#,##0.00\ \-"₹";"₹"\ #,##0.00</c:formatCode>
                <c:ptCount val="5"/>
                <c:pt idx="0">
                  <c:v>46624</c:v>
                </c:pt>
                <c:pt idx="1">
                  <c:v>22766</c:v>
                </c:pt>
                <c:pt idx="2">
                  <c:v>18321</c:v>
                </c:pt>
                <c:pt idx="3">
                  <c:v>47985</c:v>
                </c:pt>
                <c:pt idx="4">
                  <c:v>10486</c:v>
                </c:pt>
              </c:numCache>
            </c:numRef>
          </c:val>
          <c:extLst>
            <c:ext xmlns:c16="http://schemas.microsoft.com/office/drawing/2014/chart" uri="{C3380CC4-5D6E-409C-BE32-E72D297353CC}">
              <c16:uniqueId val="{00000010-722F-4284-9EA1-DA671AA12A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[Section-5-PowerPivot-AnalyseAndVisualize.xlsx]Line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Chart'!$B$4:$B$5</c:f>
              <c:strCache>
                <c:ptCount val="1"/>
                <c:pt idx="0">
                  <c:v>2023</c:v>
                </c:pt>
              </c:strCache>
            </c:strRef>
          </c:cat>
          <c:val>
            <c:numRef>
              <c:f>'Line Chart'!$C$4:$C$5</c:f>
              <c:numCache>
                <c:formatCode>"₹"\ #,##0.00;#,##0.00\ \-"₹";"₹"\ #,##0.00</c:formatCode>
                <c:ptCount val="1"/>
                <c:pt idx="0">
                  <c:v>146182</c:v>
                </c:pt>
              </c:numCache>
            </c:numRef>
          </c:val>
          <c:smooth val="0"/>
          <c:extLst>
            <c:ext xmlns:c16="http://schemas.microsoft.com/office/drawing/2014/chart" uri="{C3380CC4-5D6E-409C-BE32-E72D297353CC}">
              <c16:uniqueId val="{00000007-C510-46A1-9540-A986AF88F735}"/>
            </c:ext>
          </c:extLst>
        </c:ser>
        <c:dLbls>
          <c:dLblPos val="t"/>
          <c:showLegendKey val="0"/>
          <c:showVal val="1"/>
          <c:showCatName val="0"/>
          <c:showSerName val="0"/>
          <c:showPercent val="0"/>
          <c:showBubbleSize val="0"/>
        </c:dLbls>
        <c:smooth val="0"/>
        <c:axId val="1506581135"/>
        <c:axId val="924934031"/>
      </c:lineChart>
      <c:catAx>
        <c:axId val="150658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34031"/>
        <c:crosses val="autoZero"/>
        <c:auto val="1"/>
        <c:lblAlgn val="ctr"/>
        <c:lblOffset val="100"/>
        <c:noMultiLvlLbl val="0"/>
      </c:catAx>
      <c:valAx>
        <c:axId val="924934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8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[Section-5-PowerPivot-AnalyseAndVisualize.xlsx]Bar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 Chart'!$C$3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Chart'!$B$4:$B$8</c:f>
              <c:strCache>
                <c:ptCount val="4"/>
                <c:pt idx="0">
                  <c:v>East</c:v>
                </c:pt>
                <c:pt idx="1">
                  <c:v>North</c:v>
                </c:pt>
                <c:pt idx="2">
                  <c:v>South</c:v>
                </c:pt>
                <c:pt idx="3">
                  <c:v>West</c:v>
                </c:pt>
              </c:strCache>
            </c:strRef>
          </c:cat>
          <c:val>
            <c:numRef>
              <c:f>'Bar Chart'!$C$4:$C$8</c:f>
              <c:numCache>
                <c:formatCode>"₹"\ #,##0.00;#,##0.00\ \-"₹";"₹"\ #,##0.00</c:formatCode>
                <c:ptCount val="4"/>
                <c:pt idx="0">
                  <c:v>7981.38</c:v>
                </c:pt>
                <c:pt idx="1">
                  <c:v>5019.12</c:v>
                </c:pt>
                <c:pt idx="2">
                  <c:v>9574.74</c:v>
                </c:pt>
                <c:pt idx="3">
                  <c:v>3737.52</c:v>
                </c:pt>
              </c:numCache>
            </c:numRef>
          </c:val>
          <c:extLst>
            <c:ext xmlns:c16="http://schemas.microsoft.com/office/drawing/2014/chart" uri="{C3380CC4-5D6E-409C-BE32-E72D297353CC}">
              <c16:uniqueId val="{00000007-D438-4827-BFF0-8D1BE23880F2}"/>
            </c:ext>
          </c:extLst>
        </c:ser>
        <c:dLbls>
          <c:showLegendKey val="0"/>
          <c:showVal val="1"/>
          <c:showCatName val="0"/>
          <c:showSerName val="0"/>
          <c:showPercent val="0"/>
          <c:showBubbleSize val="0"/>
        </c:dLbls>
        <c:gapWidth val="150"/>
        <c:overlap val="100"/>
        <c:axId val="1506611759"/>
        <c:axId val="924974831"/>
      </c:barChart>
      <c:catAx>
        <c:axId val="150661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74831"/>
        <c:crosses val="autoZero"/>
        <c:auto val="1"/>
        <c:lblAlgn val="ctr"/>
        <c:lblOffset val="100"/>
        <c:noMultiLvlLbl val="0"/>
      </c:catAx>
      <c:valAx>
        <c:axId val="9249748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61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[Section-5-PowerPivot-AnalyseAndVisualize.xlsx]Stacked Column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'Stacked Column Chart'!$C$3</c:f>
              <c:strCache>
                <c:ptCount val="1"/>
                <c:pt idx="0">
                  <c:v>Total</c:v>
                </c:pt>
              </c:strCache>
            </c:strRef>
          </c:tx>
          <c:spPr>
            <a:solidFill>
              <a:schemeClr val="accent1"/>
            </a:solidFill>
            <a:ln>
              <a:noFill/>
            </a:ln>
            <a:effectLst/>
          </c:spPr>
          <c:invertIfNegative val="0"/>
          <c:cat>
            <c:strRef>
              <c:f>'Stacked Column Chart'!$B$4:$B$8</c:f>
              <c:strCache>
                <c:ptCount val="4"/>
                <c:pt idx="0">
                  <c:v>East</c:v>
                </c:pt>
                <c:pt idx="1">
                  <c:v>North</c:v>
                </c:pt>
                <c:pt idx="2">
                  <c:v>South</c:v>
                </c:pt>
                <c:pt idx="3">
                  <c:v>West</c:v>
                </c:pt>
              </c:strCache>
            </c:strRef>
          </c:cat>
          <c:val>
            <c:numRef>
              <c:f>'Stacked Column Chart'!$C$4:$C$8</c:f>
              <c:numCache>
                <c:formatCode>"₹"\ #,##0.00;#,##0.00\ \-"₹";"₹"\ #,##0.00</c:formatCode>
                <c:ptCount val="4"/>
                <c:pt idx="0">
                  <c:v>44341</c:v>
                </c:pt>
                <c:pt idx="1">
                  <c:v>27884</c:v>
                </c:pt>
                <c:pt idx="2">
                  <c:v>53193</c:v>
                </c:pt>
                <c:pt idx="3">
                  <c:v>20764</c:v>
                </c:pt>
              </c:numCache>
            </c:numRef>
          </c:val>
          <c:extLst>
            <c:ext xmlns:c16="http://schemas.microsoft.com/office/drawing/2014/chart" uri="{C3380CC4-5D6E-409C-BE32-E72D297353CC}">
              <c16:uniqueId val="{00000007-0FA2-4D7C-B50C-3D2F5CBEC3C5}"/>
            </c:ext>
          </c:extLst>
        </c:ser>
        <c:dLbls>
          <c:showLegendKey val="0"/>
          <c:showVal val="0"/>
          <c:showCatName val="0"/>
          <c:showSerName val="0"/>
          <c:showPercent val="0"/>
          <c:showBubbleSize val="0"/>
        </c:dLbls>
        <c:gapWidth val="150"/>
        <c:overlap val="100"/>
        <c:axId val="977182607"/>
        <c:axId val="924961391"/>
      </c:barChart>
      <c:catAx>
        <c:axId val="97718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61391"/>
        <c:crosses val="autoZero"/>
        <c:auto val="1"/>
        <c:lblAlgn val="ctr"/>
        <c:lblOffset val="100"/>
        <c:noMultiLvlLbl val="0"/>
      </c:catAx>
      <c:valAx>
        <c:axId val="924961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8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[Section-5-PowerPivot-AnalyseAndVisualize.xlsx]Area Chart!PivotTable7</c:name>
    <c:fmtId val="0"/>
  </c:pivotSource>
  <c:chart>
    <c:autoTitleDeleted val="0"/>
    <c:pivotFmts>
      <c:pivotFmt>
        <c:idx val="0"/>
        <c:spPr>
          <a:solidFill>
            <a:schemeClr val="accent1"/>
          </a:solidFill>
          <a:ln w="25400">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'Area Chart'!$C$3</c:f>
              <c:strCache>
                <c:ptCount val="1"/>
                <c:pt idx="0">
                  <c:v>Total Revenue</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'Area Chart'!$B$4:$B$18</c:f>
              <c:strCache>
                <c:ptCount val="14"/>
                <c:pt idx="0">
                  <c:v>Bread</c:v>
                </c:pt>
                <c:pt idx="1">
                  <c:v>Chair</c:v>
                </c:pt>
                <c:pt idx="2">
                  <c:v>Fiction</c:v>
                </c:pt>
                <c:pt idx="3">
                  <c:v>Fruits</c:v>
                </c:pt>
                <c:pt idx="4">
                  <c:v>Headphones</c:v>
                </c:pt>
                <c:pt idx="5">
                  <c:v>History</c:v>
                </c:pt>
                <c:pt idx="6">
                  <c:v>Jacket</c:v>
                </c:pt>
                <c:pt idx="7">
                  <c:v>Laptop</c:v>
                </c:pt>
                <c:pt idx="8">
                  <c:v>Milk</c:v>
                </c:pt>
                <c:pt idx="9">
                  <c:v>Pants</c:v>
                </c:pt>
                <c:pt idx="10">
                  <c:v>Science</c:v>
                </c:pt>
                <c:pt idx="11">
                  <c:v>Shirt</c:v>
                </c:pt>
                <c:pt idx="12">
                  <c:v>Smartphone</c:v>
                </c:pt>
                <c:pt idx="13">
                  <c:v>Sofa</c:v>
                </c:pt>
              </c:strCache>
            </c:strRef>
          </c:cat>
          <c:val>
            <c:numRef>
              <c:f>'Area Chart'!$C$4:$C$18</c:f>
              <c:numCache>
                <c:formatCode>"₹"\ #,##0.00;#,##0.00\ \-"₹";"₹"\ #,##0.00</c:formatCode>
                <c:ptCount val="14"/>
                <c:pt idx="0">
                  <c:v>24540</c:v>
                </c:pt>
                <c:pt idx="1">
                  <c:v>7075</c:v>
                </c:pt>
                <c:pt idx="2">
                  <c:v>18388</c:v>
                </c:pt>
                <c:pt idx="3">
                  <c:v>12398</c:v>
                </c:pt>
                <c:pt idx="4">
                  <c:v>2372</c:v>
                </c:pt>
                <c:pt idx="5">
                  <c:v>23197</c:v>
                </c:pt>
                <c:pt idx="6">
                  <c:v>9901</c:v>
                </c:pt>
                <c:pt idx="7">
                  <c:v>8294</c:v>
                </c:pt>
                <c:pt idx="8">
                  <c:v>11047</c:v>
                </c:pt>
                <c:pt idx="9">
                  <c:v>8029</c:v>
                </c:pt>
                <c:pt idx="10">
                  <c:v>5039</c:v>
                </c:pt>
                <c:pt idx="11">
                  <c:v>4836</c:v>
                </c:pt>
                <c:pt idx="12">
                  <c:v>7655</c:v>
                </c:pt>
                <c:pt idx="13">
                  <c:v>3411</c:v>
                </c:pt>
              </c:numCache>
            </c:numRef>
          </c:val>
          <c:extLst>
            <c:ext xmlns:c16="http://schemas.microsoft.com/office/drawing/2014/chart" uri="{C3380CC4-5D6E-409C-BE32-E72D297353CC}">
              <c16:uniqueId val="{0000000D-B05A-4B6F-9EEC-BF6F1C2947AC}"/>
            </c:ext>
          </c:extLst>
        </c:ser>
        <c:ser>
          <c:idx val="1"/>
          <c:order val="1"/>
          <c:tx>
            <c:strRef>
              <c:f>'Area Chart'!$D$3</c:f>
              <c:strCache>
                <c:ptCount val="1"/>
                <c:pt idx="0">
                  <c:v>Total Profit</c:v>
                </c:pt>
              </c:strCache>
            </c:strRef>
          </c:tx>
          <c:spPr>
            <a:solidFill>
              <a:schemeClr val="accent2"/>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'Area Chart'!$B$4:$B$18</c:f>
              <c:strCache>
                <c:ptCount val="14"/>
                <c:pt idx="0">
                  <c:v>Bread</c:v>
                </c:pt>
                <c:pt idx="1">
                  <c:v>Chair</c:v>
                </c:pt>
                <c:pt idx="2">
                  <c:v>Fiction</c:v>
                </c:pt>
                <c:pt idx="3">
                  <c:v>Fruits</c:v>
                </c:pt>
                <c:pt idx="4">
                  <c:v>Headphones</c:v>
                </c:pt>
                <c:pt idx="5">
                  <c:v>History</c:v>
                </c:pt>
                <c:pt idx="6">
                  <c:v>Jacket</c:v>
                </c:pt>
                <c:pt idx="7">
                  <c:v>Laptop</c:v>
                </c:pt>
                <c:pt idx="8">
                  <c:v>Milk</c:v>
                </c:pt>
                <c:pt idx="9">
                  <c:v>Pants</c:v>
                </c:pt>
                <c:pt idx="10">
                  <c:v>Science</c:v>
                </c:pt>
                <c:pt idx="11">
                  <c:v>Shirt</c:v>
                </c:pt>
                <c:pt idx="12">
                  <c:v>Smartphone</c:v>
                </c:pt>
                <c:pt idx="13">
                  <c:v>Sofa</c:v>
                </c:pt>
              </c:strCache>
            </c:strRef>
          </c:cat>
          <c:val>
            <c:numRef>
              <c:f>'Area Chart'!$D$4:$D$18</c:f>
              <c:numCache>
                <c:formatCode>"₹"\ #,##0.00;#,##0.00\ \-"₹";"₹"\ #,##0.00</c:formatCode>
                <c:ptCount val="14"/>
                <c:pt idx="0">
                  <c:v>4417.2</c:v>
                </c:pt>
                <c:pt idx="1">
                  <c:v>1273.5</c:v>
                </c:pt>
                <c:pt idx="2">
                  <c:v>3309.84</c:v>
                </c:pt>
                <c:pt idx="3">
                  <c:v>2231.64</c:v>
                </c:pt>
                <c:pt idx="4">
                  <c:v>426.96</c:v>
                </c:pt>
                <c:pt idx="5">
                  <c:v>4175.46</c:v>
                </c:pt>
                <c:pt idx="6">
                  <c:v>1782.18</c:v>
                </c:pt>
                <c:pt idx="7">
                  <c:v>1492.92</c:v>
                </c:pt>
                <c:pt idx="8">
                  <c:v>1988.46</c:v>
                </c:pt>
                <c:pt idx="9">
                  <c:v>1445.22</c:v>
                </c:pt>
                <c:pt idx="10">
                  <c:v>907.02</c:v>
                </c:pt>
                <c:pt idx="11">
                  <c:v>870.48</c:v>
                </c:pt>
                <c:pt idx="12">
                  <c:v>1377.9</c:v>
                </c:pt>
                <c:pt idx="13">
                  <c:v>613.98</c:v>
                </c:pt>
              </c:numCache>
            </c:numRef>
          </c:val>
          <c:extLst>
            <c:ext xmlns:c16="http://schemas.microsoft.com/office/drawing/2014/chart" uri="{C3380CC4-5D6E-409C-BE32-E72D297353CC}">
              <c16:uniqueId val="{0000000E-B05A-4B6F-9EEC-BF6F1C2947AC}"/>
            </c:ext>
          </c:extLst>
        </c:ser>
        <c:dLbls>
          <c:showLegendKey val="0"/>
          <c:showVal val="1"/>
          <c:showCatName val="0"/>
          <c:showSerName val="0"/>
          <c:showPercent val="0"/>
          <c:showBubbleSize val="0"/>
        </c:dLbls>
        <c:axId val="1709836447"/>
        <c:axId val="924969071"/>
      </c:areaChart>
      <c:catAx>
        <c:axId val="1709836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69071"/>
        <c:crosses val="autoZero"/>
        <c:auto val="1"/>
        <c:lblAlgn val="ctr"/>
        <c:lblOffset val="100"/>
        <c:noMultiLvlLbl val="0"/>
      </c:catAx>
      <c:valAx>
        <c:axId val="924969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836447"/>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[Section-5-PowerPivot-AnalyseAndVisualize.xlsx]Pie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'Pie Chart'!$C$3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Chart'!$B$4:$B$9</c:f>
              <c:strCache>
                <c:ptCount val="5"/>
                <c:pt idx="0">
                  <c:v>Books</c:v>
                </c:pt>
                <c:pt idx="1">
                  <c:v>Clothing</c:v>
                </c:pt>
                <c:pt idx="2">
                  <c:v>Electronics</c:v>
                </c:pt>
                <c:pt idx="3">
                  <c:v>Food</c:v>
                </c:pt>
                <c:pt idx="4">
                  <c:v>Furniture</c:v>
                </c:pt>
              </c:strCache>
            </c:strRef>
          </c:cat>
          <c:val>
            <c:numRef>
              <c:f>'Pie Chart'!$C$4:$C$9</c:f>
              <c:numCache>
                <c:formatCode>"₹"\ #,##0.00;#,##0.00\ \-"₹";"₹"\ #,##0.00</c:formatCode>
                <c:ptCount val="5"/>
                <c:pt idx="0">
                  <c:v>46624</c:v>
                </c:pt>
                <c:pt idx="1">
                  <c:v>22766</c:v>
                </c:pt>
                <c:pt idx="2">
                  <c:v>18321</c:v>
                </c:pt>
                <c:pt idx="3">
                  <c:v>47985</c:v>
                </c:pt>
                <c:pt idx="4">
                  <c:v>10486</c:v>
                </c:pt>
              </c:numCache>
            </c:numRef>
          </c:val>
          <c:extLst>
            <c:ext xmlns:c16="http://schemas.microsoft.com/office/drawing/2014/chart" uri="{C3380CC4-5D6E-409C-BE32-E72D297353CC}">
              <c16:uniqueId val="{00000007-5869-4B42-973C-12CA1457A1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[Section-5-PowerPivot-AnalyseAndVisualize.xlsx]Sheet12!PivotTable9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Sheet12!$C$3</c:f>
              <c:strCache>
                <c:ptCount val="1"/>
                <c:pt idx="0">
                  <c:v>Total Revenue</c:v>
                </c:pt>
              </c:strCache>
            </c:strRef>
          </c:tx>
          <c:spPr>
            <a:solidFill>
              <a:schemeClr val="accent1"/>
            </a:solidFill>
            <a:ln>
              <a:noFill/>
            </a:ln>
            <a:effectLst/>
          </c:spPr>
          <c:invertIfNegative val="0"/>
          <c:cat>
            <c:strRef>
              <c:f>Sheet12!$B$4:$B$8</c:f>
              <c:strCache>
                <c:ptCount val="4"/>
                <c:pt idx="0">
                  <c:v>East</c:v>
                </c:pt>
                <c:pt idx="1">
                  <c:v>North</c:v>
                </c:pt>
                <c:pt idx="2">
                  <c:v>South</c:v>
                </c:pt>
                <c:pt idx="3">
                  <c:v>West</c:v>
                </c:pt>
              </c:strCache>
            </c:strRef>
          </c:cat>
          <c:val>
            <c:numRef>
              <c:f>Sheet12!$C$4:$C$8</c:f>
              <c:numCache>
                <c:formatCode>"₹"\ #,##0.00;#,##0.00\ \-"₹";"₹"\ #,##0.00</c:formatCode>
                <c:ptCount val="4"/>
                <c:pt idx="0">
                  <c:v>44341</c:v>
                </c:pt>
                <c:pt idx="1">
                  <c:v>27884</c:v>
                </c:pt>
                <c:pt idx="2">
                  <c:v>53193</c:v>
                </c:pt>
                <c:pt idx="3">
                  <c:v>20764</c:v>
                </c:pt>
              </c:numCache>
            </c:numRef>
          </c:val>
          <c:extLst>
            <c:ext xmlns:c16="http://schemas.microsoft.com/office/drawing/2014/chart" uri="{C3380CC4-5D6E-409C-BE32-E72D297353CC}">
              <c16:uniqueId val="{0000000D-8B96-45D3-9218-1F7A676003A1}"/>
            </c:ext>
          </c:extLst>
        </c:ser>
        <c:ser>
          <c:idx val="1"/>
          <c:order val="1"/>
          <c:tx>
            <c:strRef>
              <c:f>Sheet12!$D$3</c:f>
              <c:strCache>
                <c:ptCount val="1"/>
                <c:pt idx="0">
                  <c:v>Total Profit</c:v>
                </c:pt>
              </c:strCache>
            </c:strRef>
          </c:tx>
          <c:spPr>
            <a:solidFill>
              <a:schemeClr val="accent2"/>
            </a:solidFill>
            <a:ln>
              <a:noFill/>
            </a:ln>
            <a:effectLst/>
          </c:spPr>
          <c:invertIfNegative val="0"/>
          <c:cat>
            <c:strRef>
              <c:f>Sheet12!$B$4:$B$8</c:f>
              <c:strCache>
                <c:ptCount val="4"/>
                <c:pt idx="0">
                  <c:v>East</c:v>
                </c:pt>
                <c:pt idx="1">
                  <c:v>North</c:v>
                </c:pt>
                <c:pt idx="2">
                  <c:v>South</c:v>
                </c:pt>
                <c:pt idx="3">
                  <c:v>West</c:v>
                </c:pt>
              </c:strCache>
            </c:strRef>
          </c:cat>
          <c:val>
            <c:numRef>
              <c:f>Sheet12!$D$4:$D$8</c:f>
              <c:numCache>
                <c:formatCode>"₹"\ #,##0.00;#,##0.00\ \-"₹";"₹"\ #,##0.00</c:formatCode>
                <c:ptCount val="4"/>
                <c:pt idx="0">
                  <c:v>7981.38</c:v>
                </c:pt>
                <c:pt idx="1">
                  <c:v>5019.12</c:v>
                </c:pt>
                <c:pt idx="2">
                  <c:v>9574.74</c:v>
                </c:pt>
                <c:pt idx="3">
                  <c:v>3737.52</c:v>
                </c:pt>
              </c:numCache>
            </c:numRef>
          </c:val>
          <c:extLst>
            <c:ext xmlns:c16="http://schemas.microsoft.com/office/drawing/2014/chart" uri="{C3380CC4-5D6E-409C-BE32-E72D297353CC}">
              <c16:uniqueId val="{0000000E-8B96-45D3-9218-1F7A676003A1}"/>
            </c:ext>
          </c:extLst>
        </c:ser>
        <c:dLbls>
          <c:showLegendKey val="0"/>
          <c:showVal val="0"/>
          <c:showCatName val="0"/>
          <c:showSerName val="0"/>
          <c:showPercent val="0"/>
          <c:showBubbleSize val="0"/>
        </c:dLbls>
        <c:gapWidth val="219"/>
        <c:overlap val="100"/>
        <c:axId val="2015809263"/>
        <c:axId val="924920591"/>
      </c:barChart>
      <c:valAx>
        <c:axId val="924920591"/>
        <c:scaling>
          <c:orientation val="minMax"/>
        </c:scaling>
        <c:delete val="0"/>
        <c:axPos val="r"/>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809263"/>
        <c:crosses val="max"/>
        <c:crossBetween val="between"/>
      </c:valAx>
      <c:catAx>
        <c:axId val="201580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20591"/>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size">
        <cx:f>_xlchart.v1.15</cx:f>
      </cx:numDim>
    </cx:data>
    <cx:data id="1">
      <cx:strDim type="cat">
        <cx:f>_xlchart.v1.13</cx:f>
      </cx:strDim>
      <cx:numDim type="size">
        <cx:f>_xlchart.v1.19</cx:f>
      </cx:numDim>
    </cx:data>
  </cx:chartData>
  <cx:chart>
    <cx:title pos="t" align="ctr" overlay="0"/>
    <cx:plotArea>
      <cx:plotAreaRegion>
        <cx:series layoutId="treemap" uniqueId="{00000000-54E1-43BE-BC92-B682F974745D}" formatIdx="0">
          <cx:tx>
            <cx:txData>
              <cx:f>_xlchart.v1.14</cx:f>
              <cx:v>Qauntity</cx:v>
            </cx:txData>
          </cx:tx>
          <cx:dataLabels>
            <cx:visibility seriesName="0" categoryName="1" value="0"/>
          </cx:dataLabels>
          <cx:dataId val="0"/>
          <cx:layoutPr>
            <cx:parentLabelLayout val="overlapping"/>
          </cx:layoutPr>
        </cx:series>
        <cx:series layoutId="treemap" hidden="1" uniqueId="{00000001-54E1-43BE-BC92-B682F974745D}" formatIdx="1">
          <cx:tx>
            <cx:txData>
              <cx:f>_xlchart.v1.16</cx:f>
              <cx:v>Unit Price</cx:v>
            </cx:txData>
          </cx:tx>
          <cx:dataLabels>
            <cx:visibility seriesName="0" categoryName="1" value="0"/>
          </cx:dataLabels>
          <cx:dataId val="1"/>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plotArea>
      <cx:plotAreaRegion>
        <cx:series layoutId="funnel" uniqueId="{00000000-38C5-46F1-95E6-BC489E113F23}">
          <cx:tx>
            <cx:txData>
              <cx:f>_xlchart.v2.9</cx:f>
              <cx:v>Value</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plotArea>
      <cx:plotAreaRegion>
        <cx:series layoutId="waterfall" uniqueId="{00000000-0075-46C4-A898-12EA70671896}">
          <cx:tx>
            <cx:txData>
              <cx:f>_xlchart.v1.3</cx:f>
              <cx:v>Value</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590939</xdr:colOff>
      <xdr:row>20</xdr:row>
      <xdr:rowOff>4820</xdr:rowOff>
    </xdr:from>
    <xdr:to>
      <xdr:col>12</xdr:col>
      <xdr:colOff>544285</xdr:colOff>
      <xdr:row>41</xdr:row>
      <xdr:rowOff>77755</xdr:rowOff>
    </xdr:to>
    <xdr:graphicFrame macro="">
      <xdr:nvGraphicFramePr>
        <xdr:cNvPr id="2" name="Chart 1">
          <a:extLst>
            <a:ext uri="{FF2B5EF4-FFF2-40B4-BE49-F238E27FC236}">
              <a16:creationId xmlns:a16="http://schemas.microsoft.com/office/drawing/2014/main" id="{8796C96A-8E65-49E4-A4F7-691196674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20</xdr:row>
      <xdr:rowOff>15551</xdr:rowOff>
    </xdr:from>
    <xdr:to>
      <xdr:col>23</xdr:col>
      <xdr:colOff>264368</xdr:colOff>
      <xdr:row>41</xdr:row>
      <xdr:rowOff>46653</xdr:rowOff>
    </xdr:to>
    <xdr:graphicFrame macro="">
      <xdr:nvGraphicFramePr>
        <xdr:cNvPr id="3" name="Chart 2">
          <a:extLst>
            <a:ext uri="{FF2B5EF4-FFF2-40B4-BE49-F238E27FC236}">
              <a16:creationId xmlns:a16="http://schemas.microsoft.com/office/drawing/2014/main" id="{F4BD698D-9922-479F-8293-85A19029F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310087</xdr:colOff>
      <xdr:row>20</xdr:row>
      <xdr:rowOff>31101</xdr:rowOff>
    </xdr:from>
    <xdr:to>
      <xdr:col>31</xdr:col>
      <xdr:colOff>363427</xdr:colOff>
      <xdr:row>41</xdr:row>
      <xdr:rowOff>179692</xdr:rowOff>
    </xdr:to>
    <xdr:graphicFrame macro="">
      <xdr:nvGraphicFramePr>
        <xdr:cNvPr id="4" name="Chart 3">
          <a:extLst>
            <a:ext uri="{FF2B5EF4-FFF2-40B4-BE49-F238E27FC236}">
              <a16:creationId xmlns:a16="http://schemas.microsoft.com/office/drawing/2014/main" id="{6083BEDB-996C-4CAE-849A-7DBCC8EAF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44787</xdr:colOff>
      <xdr:row>5</xdr:row>
      <xdr:rowOff>182880</xdr:rowOff>
    </xdr:from>
    <xdr:to>
      <xdr:col>8</xdr:col>
      <xdr:colOff>54118</xdr:colOff>
      <xdr:row>19</xdr:row>
      <xdr:rowOff>37283</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1B08DB8F-A5E0-7330-47CD-298F71843C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73235" y="1092731"/>
              <a:ext cx="1851779" cy="2401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535006</xdr:colOff>
      <xdr:row>10</xdr:row>
      <xdr:rowOff>40640</xdr:rowOff>
    </xdr:from>
    <xdr:to>
      <xdr:col>20</xdr:col>
      <xdr:colOff>473527</xdr:colOff>
      <xdr:row>17</xdr:row>
      <xdr:rowOff>105954</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F4F17971-FD95-5862-DE45-3381360316F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505902" y="1860341"/>
              <a:ext cx="7751864" cy="13391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23</xdr:col>
      <xdr:colOff>586154</xdr:colOff>
      <xdr:row>2</xdr:row>
      <xdr:rowOff>117231</xdr:rowOff>
    </xdr:from>
    <xdr:to>
      <xdr:col>31</xdr:col>
      <xdr:colOff>312615</xdr:colOff>
      <xdr:row>18</xdr:row>
      <xdr:rowOff>46892</xdr:rowOff>
    </xdr:to>
    <xdr:graphicFrame macro="">
      <xdr:nvGraphicFramePr>
        <xdr:cNvPr id="7" name="Chart 6">
          <a:extLst>
            <a:ext uri="{FF2B5EF4-FFF2-40B4-BE49-F238E27FC236}">
              <a16:creationId xmlns:a16="http://schemas.microsoft.com/office/drawing/2014/main" id="{E4BC3A3C-ABAF-48F5-B5BD-A68597468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365760</xdr:colOff>
      <xdr:row>1</xdr:row>
      <xdr:rowOff>60960</xdr:rowOff>
    </xdr:from>
    <xdr:to>
      <xdr:col>15</xdr:col>
      <xdr:colOff>464820</xdr:colOff>
      <xdr:row>24</xdr:row>
      <xdr:rowOff>53340</xdr:rowOff>
    </xdr:to>
    <xdr:graphicFrame macro="">
      <xdr:nvGraphicFramePr>
        <xdr:cNvPr id="2" name="Chart 1">
          <a:extLst>
            <a:ext uri="{FF2B5EF4-FFF2-40B4-BE49-F238E27FC236}">
              <a16:creationId xmlns:a16="http://schemas.microsoft.com/office/drawing/2014/main" id="{74544A0C-A558-E2EF-E7EA-34DFC14DD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541020</xdr:colOff>
      <xdr:row>5</xdr:row>
      <xdr:rowOff>80010</xdr:rowOff>
    </xdr:from>
    <xdr:to>
      <xdr:col>11</xdr:col>
      <xdr:colOff>236220</xdr:colOff>
      <xdr:row>20</xdr:row>
      <xdr:rowOff>80010</xdr:rowOff>
    </xdr:to>
    <xdr:graphicFrame macro="">
      <xdr:nvGraphicFramePr>
        <xdr:cNvPr id="2" name="Chart 1">
          <a:extLst>
            <a:ext uri="{FF2B5EF4-FFF2-40B4-BE49-F238E27FC236}">
              <a16:creationId xmlns:a16="http://schemas.microsoft.com/office/drawing/2014/main" id="{2ADC4BFC-9BD2-63B1-DE5C-196212A86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480060</xdr:colOff>
      <xdr:row>1</xdr:row>
      <xdr:rowOff>175260</xdr:rowOff>
    </xdr:from>
    <xdr:to>
      <xdr:col>15</xdr:col>
      <xdr:colOff>175260</xdr:colOff>
      <xdr:row>16</xdr:row>
      <xdr:rowOff>175260</xdr:rowOff>
    </xdr:to>
    <xdr:graphicFrame macro="">
      <xdr:nvGraphicFramePr>
        <xdr:cNvPr id="2" name="Chart 1">
          <a:extLst>
            <a:ext uri="{FF2B5EF4-FFF2-40B4-BE49-F238E27FC236}">
              <a16:creationId xmlns:a16="http://schemas.microsoft.com/office/drawing/2014/main" id="{AB54622B-CE98-2CE3-D6CD-A8AFB8653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58953</xdr:colOff>
      <xdr:row>3</xdr:row>
      <xdr:rowOff>51134</xdr:rowOff>
    </xdr:from>
    <xdr:to>
      <xdr:col>23</xdr:col>
      <xdr:colOff>527096</xdr:colOff>
      <xdr:row>18</xdr:row>
      <xdr:rowOff>51135</xdr:rowOff>
    </xdr:to>
    <xdr:graphicFrame macro="">
      <xdr:nvGraphicFramePr>
        <xdr:cNvPr id="2" name="Chart 1">
          <a:extLst>
            <a:ext uri="{FF2B5EF4-FFF2-40B4-BE49-F238E27FC236}">
              <a16:creationId xmlns:a16="http://schemas.microsoft.com/office/drawing/2014/main" id="{EEF17016-5843-1719-ECF2-0091ACD2E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502920</xdr:colOff>
      <xdr:row>5</xdr:row>
      <xdr:rowOff>49530</xdr:rowOff>
    </xdr:from>
    <xdr:to>
      <xdr:col>11</xdr:col>
      <xdr:colOff>198120</xdr:colOff>
      <xdr:row>20</xdr:row>
      <xdr:rowOff>49530</xdr:rowOff>
    </xdr:to>
    <xdr:graphicFrame macro="">
      <xdr:nvGraphicFramePr>
        <xdr:cNvPr id="2" name="Chart 1">
          <a:extLst>
            <a:ext uri="{FF2B5EF4-FFF2-40B4-BE49-F238E27FC236}">
              <a16:creationId xmlns:a16="http://schemas.microsoft.com/office/drawing/2014/main" id="{F3C095E8-7042-4213-66F7-249429845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53340</xdr:colOff>
      <xdr:row>2</xdr:row>
      <xdr:rowOff>163830</xdr:rowOff>
    </xdr:from>
    <xdr:to>
      <xdr:col>15</xdr:col>
      <xdr:colOff>594360</xdr:colOff>
      <xdr:row>24</xdr:row>
      <xdr:rowOff>129540</xdr:rowOff>
    </xdr:to>
    <xdr:graphicFrame macro="">
      <xdr:nvGraphicFramePr>
        <xdr:cNvPr id="2" name="Chart 1">
          <a:extLst>
            <a:ext uri="{FF2B5EF4-FFF2-40B4-BE49-F238E27FC236}">
              <a16:creationId xmlns:a16="http://schemas.microsoft.com/office/drawing/2014/main" id="{3522FFA8-F82F-11AE-4F36-584C221E7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16</xdr:col>
      <xdr:colOff>229772</xdr:colOff>
      <xdr:row>1</xdr:row>
      <xdr:rowOff>148493</xdr:rowOff>
    </xdr:from>
    <xdr:to>
      <xdr:col>26</xdr:col>
      <xdr:colOff>549812</xdr:colOff>
      <xdr:row>19</xdr:row>
      <xdr:rowOff>98963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6AD4C99-8E06-0A77-600B-D3CACEEB3B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792264" y="336062"/>
              <a:ext cx="6416040" cy="33267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317027</xdr:colOff>
      <xdr:row>22</xdr:row>
      <xdr:rowOff>13109</xdr:rowOff>
    </xdr:from>
    <xdr:to>
      <xdr:col>27</xdr:col>
      <xdr:colOff>23259</xdr:colOff>
      <xdr:row>37</xdr:row>
      <xdr:rowOff>13107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3D1DB4CA-E8E3-4636-877F-6C9E8198B2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708319" y="4139632"/>
              <a:ext cx="4583032" cy="28135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506897</xdr:colOff>
      <xdr:row>3</xdr:row>
      <xdr:rowOff>40317</xdr:rowOff>
    </xdr:from>
    <xdr:to>
      <xdr:col>13</xdr:col>
      <xdr:colOff>351508</xdr:colOff>
      <xdr:row>18</xdr:row>
      <xdr:rowOff>40319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5A03B19D-E968-59F4-BB37-2DBDA0C6BB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516189" y="603025"/>
              <a:ext cx="4569011" cy="2813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Jadon" refreshedDate="46204.902479861114" createdVersion="8" refreshedVersion="8" minRefreshableVersion="3" recordCount="20" xr:uid="{0C46F4F5-147E-49C9-AC48-06611C3B0E44}">
  <cacheSource type="worksheet">
    <worksheetSource ref="D1:F21" sheet="Sheet2"/>
  </cacheSource>
  <cacheFields count="4">
    <cacheField name="SaleID" numFmtId="0">
      <sharedItems containsSemiMixedTypes="0" containsString="0" containsNumber="1" containsInteger="1" minValue="1" maxValue="20"/>
    </cacheField>
    <cacheField name="Product" numFmtId="0">
      <sharedItems count="13">
        <s v="Laptop"/>
        <s v="Fiction"/>
        <s v="Sofa"/>
        <s v="Table"/>
        <s v="Pants"/>
        <s v="Bread"/>
        <s v="Fruits"/>
        <s v="Science"/>
        <s v="Shirt"/>
        <s v="Headphones"/>
        <s v="Milk"/>
        <s v="Chair"/>
        <s v="History"/>
      </sharedItems>
    </cacheField>
    <cacheField name="Sales" numFmtId="0">
      <sharedItems containsSemiMixedTypes="0" containsString="0" containsNumber="1" containsInteger="1" minValue="195" maxValue="7812"/>
    </cacheField>
    <cacheField name="SalesWithRevenue" numFmtId="0" formula="Sales +Sales * 0.18"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488310186" createdVersion="5" refreshedVersion="8" minRefreshableVersion="3" recordCount="0" supportSubquery="1" supportAdvancedDrill="1" xr:uid="{D07179BE-1381-4B28-97C3-0D1590A8ACD3}">
  <cacheSource type="external" connectionId="1"/>
  <cacheFields count="5">
    <cacheField name="[Table1].[Product].[Product]" caption="Product" numFmtId="0" hierarchy="3" level="1">
      <sharedItems count="14">
        <s v="Bread"/>
        <s v="Chair"/>
        <s v="Fiction"/>
        <s v="Fruits"/>
        <s v="Headphones"/>
        <s v="History"/>
        <s v="Jacket"/>
        <s v="Laptop"/>
        <s v="Milk"/>
        <s v="Pants"/>
        <s v="Science"/>
        <s v="Shirt"/>
        <s v="Smartphone"/>
        <s v="Sofa"/>
      </sharedItems>
    </cacheField>
    <cacheField name="[Measures].[Total Revenue]" caption="Total Revenue" numFmtId="0" hierarchy="22" level="32767"/>
    <cacheField name="[Measures].[Total Profit]" caption="Total Profit" numFmtId="0" hierarchy="21" level="32767"/>
    <cacheField name="[Table1].[Date].[Date]" caption="Date" numFmtId="0" hierarchy="4" level="1">
      <sharedItems containsSemiMixedTypes="0" containsNonDate="0" containsString="0"/>
    </cacheField>
    <cacheField name="[Table1].[Region].[Region]" caption="Region" numFmtId="0" hierarchy="1" level="1">
      <sharedItems containsSemiMixedTypes="0" containsNonDate="0" containsString="0"/>
    </cacheField>
  </cacheFields>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Date]" caption="Date" attribute="1" time="1" defaultMemberUniqueName="[Table1].[Date].[All]" allUniqueName="[Table1].[Date].[All]" dimensionUniqueName="[Table1]" displayFolder="" count="2" memberValueDatatype="7" unbalanced="0">
      <fieldsUsage count="2">
        <fieldUsage x="-1"/>
        <fieldUsage x="3"/>
      </fieldsUsage>
    </cacheHierarchy>
    <cacheHierarchy uniqueName="[Table1].[DateHierarchy]" caption="DateHierarchy" defaultMemberUniqueName="[Table1].[DateHierarchy].[All]" allUniqueName="[Table1].[DateHierarchy].[All]" dimensionUniqueName="[Table1]" displayFolder="" count="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oneField="1">
      <fieldsUsage count="1">
        <fieldUsage x="2"/>
      </fieldsUsage>
    </cacheHierarchy>
    <cacheHierarchy uniqueName="[Measures].[Total Revenue]" caption="Total Revenue"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hidden="1"/>
  </cacheHierarchies>
  <kpis count="1">
    <kpi uniqueName="Total Revenue" caption="Total Revenue" displayFolder="" measureGroup="Table1" parent="" value="[Measures].[Total Revenue]" goal="[Measures].[_Total Revenue Goal]" status="[Measures].[_Total Revenue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489467594" createdVersion="5" refreshedVersion="8" minRefreshableVersion="3" recordCount="0" supportSubquery="1" supportAdvancedDrill="1" xr:uid="{061871A3-519A-4E7A-B42F-7FAD915E06C8}">
  <cacheSource type="external" connectionId="1"/>
  <cacheFields count="3">
    <cacheField name="[Table1].[Date].[Date]" caption="Date" numFmtId="0" hierarchy="4" level="1">
      <sharedItems containsSemiMixedTypes="0" containsNonDate="0" containsString="0"/>
    </cacheField>
    <cacheField name="[Table1].[Region].[Region]" caption="Region" numFmtId="0" hierarchy="1" level="1">
      <sharedItems count="4">
        <s v="East"/>
        <s v="North"/>
        <s v="South"/>
        <s v="West"/>
      </sharedItems>
    </cacheField>
    <cacheField name="[Measures].[Total Revenue]" caption="Total Revenue" numFmtId="0" hierarchy="22" level="32767"/>
  </cacheFields>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0"/>
      </fieldsUsage>
    </cacheHierarchy>
    <cacheHierarchy uniqueName="[Table1].[DateHierarchy]" caption="DateHierarchy" defaultMemberUniqueName="[Table1].[DateHierarchy].[All]" allUniqueName="[Table1].[DateHierarchy].[All]" dimensionUniqueName="[Table1]" displayFolder="" count="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cacheHierarchy uniqueName="[Measures].[Total Revenue]" caption="Total Revenue"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hidden="1"/>
  </cacheHierarchies>
  <kpis count="1">
    <kpi uniqueName="Total Revenue" caption="Total Revenue" displayFolder="" measureGroup="Table1" parent="" value="[Measures].[Total Revenue]" goal="[Measures].[_Total Revenue Goal]" status="[Measures].[_Total Revenue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490509256" createdVersion="5" refreshedVersion="8" minRefreshableVersion="3" recordCount="0" supportSubquery="1" supportAdvancedDrill="1" xr:uid="{EBAF3779-F977-4198-9CFF-3725050A3053}">
  <cacheSource type="external" connectionId="1"/>
  <cacheFields count="6">
    <cacheField name="[Table1].[DateHierarchy].[Year]" caption="Year" numFmtId="0" hierarchy="5" level="1">
      <sharedItems containsSemiMixedTypes="0" containsString="0" containsNumber="1" containsInteger="1" minValue="2023" maxValue="2023" count="1">
        <n v="2023"/>
      </sharedItems>
      <extLst>
        <ext xmlns:x15="http://schemas.microsoft.com/office/spreadsheetml/2010/11/main" uri="{4F2E5C28-24EA-4eb8-9CBF-B6C8F9C3D259}">
          <x15:cachedUniqueNames>
            <x15:cachedUniqueName index="0" name="[Table1].[DateHierarchy].[Year].&amp;[2023]"/>
          </x15:cachedUniqueNames>
        </ext>
      </extLst>
    </cacheField>
    <cacheField name="[Table1].[DateHierarchy].[Quarter]" caption="Quarter" numFmtId="0" hierarchy="5" level="2">
      <sharedItems count="5">
        <s v="2023Q1"/>
        <s v="2023Q2"/>
        <s v="2023Q3"/>
        <s v="2023Q4"/>
        <s v="2024Q1"/>
      </sharedItems>
      <extLst>
        <ext xmlns:x15="http://schemas.microsoft.com/office/spreadsheetml/2010/11/main" uri="{4F2E5C28-24EA-4eb8-9CBF-B6C8F9C3D259}">
          <x15:cachedUniqueNames>
            <x15:cachedUniqueName index="0" name="[Table1].[DateHierarchy].[Year].&amp;[2023].&amp;[2023Q1]"/>
            <x15:cachedUniqueName index="1" name="[Table1].[DateHierarchy].[Year].&amp;[2023].&amp;[2023Q2]"/>
            <x15:cachedUniqueName index="2" name="[Table1].[DateHierarchy].[Year].&amp;[2023].&amp;[2023Q3]"/>
            <x15:cachedUniqueName index="3" name="[Table1].[DateHierarchy].[Year].&amp;[2023].&amp;[2023Q4]"/>
            <x15:cachedUniqueName index="4" name="[Table1].[DateHierarchy].[Year].&amp;[2024].&amp;[2024Q1]"/>
          </x15:cachedUniqueNames>
        </ext>
      </extLst>
    </cacheField>
    <cacheField name="[Table1].[DateHierarchy].[Month]" caption="Month" numFmtId="0" hierarchy="5" level="3">
      <sharedItems containsSemiMixedTypes="0" containsNonDate="0" containsString="0"/>
    </cacheField>
    <cacheField name="[Measures].[Total Revenue]" caption="Total Revenue" numFmtId="0" hierarchy="22" level="32767"/>
    <cacheField name="[Table1].[Date].[Date]" caption="Date" numFmtId="0" hierarchy="4" level="1">
      <sharedItems containsSemiMixedTypes="0" containsNonDate="0" containsString="0"/>
    </cacheField>
    <cacheField name="[Table1].[Region].[Region]" caption="Region" numFmtId="0" hierarchy="1" level="1">
      <sharedItems containsSemiMixedTypes="0" containsNonDate="0" containsString="0"/>
    </cacheField>
  </cacheFields>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5"/>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4"/>
      </fieldsUsage>
    </cacheHierarchy>
    <cacheHierarchy uniqueName="[Table1].[DateHierarchy]" caption="DateHierarchy" defaultMemberUniqueName="[Table1].[DateHierarchy].[All]" allUniqueName="[Table1].[DateHierarchy].[All]" dimensionUniqueName="[Table1]" displayFolder="" count="4" unbalanced="0">
      <fieldsUsage count="4">
        <fieldUsage x="-1"/>
        <fieldUsage x="0"/>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cacheHierarchy uniqueName="[Measures].[Total Revenue]" caption="Total Revenue" measure="1" displayFolder="" measureGroup="Table1" count="0" oneField="1">
      <fieldsUsage count="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hidden="1"/>
  </cacheHierarchies>
  <kpis count="1">
    <kpi uniqueName="Total Revenue" caption="Total Revenue" displayFolder="" measureGroup="Table1" parent="" value="[Measures].[Total Revenue]" goal="[Measures].[_Total Revenue Goal]" status="[Measures].[_Total Revenue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491666665" createdVersion="5" refreshedVersion="8" minRefreshableVersion="3" recordCount="0" supportSubquery="1" supportAdvancedDrill="1" xr:uid="{A4F98A7B-F3CD-4880-B64E-BBD46AE9FEEB}">
  <cacheSource type="external" connectionId="1"/>
  <cacheFields count="4">
    <cacheField name="[Table1].[Category].[Category]" caption="Category" numFmtId="0" hierarchy="2" level="1">
      <sharedItems count="5">
        <s v="Books"/>
        <s v="Clothing"/>
        <s v="Electronics"/>
        <s v="Food"/>
        <s v="Furniture"/>
      </sharedItems>
    </cacheField>
    <cacheField name="[Measures].[Sum of Sales]" caption="Sum of Sales" numFmtId="0" hierarchy="18" level="32767"/>
    <cacheField name="[Table1].[Date].[Date]" caption="Date" numFmtId="0" hierarchy="4" level="1">
      <sharedItems containsSemiMixedTypes="0" containsNonDate="0" containsString="0"/>
    </cacheField>
    <cacheField name="[Table1].[Region].[Region]" caption="Region" numFmtId="0" hierarchy="1" level="1">
      <sharedItems containsSemiMixedTypes="0" containsNonDate="0" containsString="0"/>
    </cacheField>
  </cacheFields>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DateHierarchy]" caption="DateHierarchy" defaultMemberUniqueName="[Table1].[DateHierarchy].[All]" allUniqueName="[Table1].[DateHierarchy].[All]" dimensionUniqueName="[Table1]" displayFolder="" count="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cacheHierarchy uniqueName="[Measures].[Total Revenue]" caption="Total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hidden="1"/>
  </cacheHierarchies>
  <kpis count="1">
    <kpi uniqueName="Total Revenue" caption="Total Revenue" displayFolder="" measureGroup="Table1" parent="" value="[Measures].[Total Revenue]" goal="[Measures].[_Total Revenue Goal]" status="[Measures].[_Total Revenue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49247685" createdVersion="5" refreshedVersion="8" minRefreshableVersion="3" recordCount="0" supportSubquery="1" supportAdvancedDrill="1" xr:uid="{76A7E61C-D231-4ED7-AE65-AC87DE36168E}">
  <cacheSource type="external" connectionId="1"/>
  <cacheFields count="4">
    <cacheField name="[Table1].[Region].[Region]" caption="Region" numFmtId="0" hierarchy="1" level="1">
      <sharedItems count="4">
        <s v="East"/>
        <s v="North"/>
        <s v="South"/>
        <s v="West"/>
      </sharedItems>
    </cacheField>
    <cacheField name="[Measures].[Total Revenue]" caption="Total Revenue" numFmtId="0" hierarchy="22" level="32767"/>
    <cacheField name="[Measures].[Total Profit]" caption="Total Profit" numFmtId="0" hierarchy="21" level="32767"/>
    <cacheField name="[Table1].[Date].[Date]" caption="Date" numFmtId="0" hierarchy="4" level="1">
      <sharedItems containsSemiMixedTypes="0" containsNonDate="0" containsString="0"/>
    </cacheField>
  </cacheFields>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3"/>
      </fieldsUsage>
    </cacheHierarchy>
    <cacheHierarchy uniqueName="[Table1].[DateHierarchy]" caption="DateHierarchy" defaultMemberUniqueName="[Table1].[DateHierarchy].[All]" allUniqueName="[Table1].[DateHierarchy].[All]" dimensionUniqueName="[Table1]" displayFolder="" count="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oneField="1">
      <fieldsUsage count="1">
        <fieldUsage x="2"/>
      </fieldsUsage>
    </cacheHierarchy>
    <cacheHierarchy uniqueName="[Measures].[Total Revenue]" caption="Total Revenue"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hidden="1"/>
  </cacheHierarchies>
  <kpis count="1">
    <kpi uniqueName="Total Revenue" caption="Total Revenue" displayFolder="" measureGroup="Table1" parent="" value="[Measures].[Total Revenue]" goal="[Measures].[_Total Revenue Goal]" status="[Measures].[_Total Revenue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49351852" createdVersion="5" refreshedVersion="8" minRefreshableVersion="3" recordCount="0" supportSubquery="1" supportAdvancedDrill="1" xr:uid="{86037896-9CC1-4779-B9CA-92BD468BBB63}">
  <cacheSource type="external" connectionId="1"/>
  <cacheFields count="6">
    <cacheField name="[Measures].[Sum of Sales]" caption="Sum of Sales" numFmtId="0" hierarchy="18" level="32767"/>
    <cacheField name="[Table1].[Date].[Date]" caption="Date" numFmtId="0" hierarchy="4" level="1">
      <sharedItems containsSemiMixedTypes="0" containsNonDate="0" containsDate="1" containsString="0" minDate="2023-01-04T00:00:00" maxDate="2023-02-26T00:00:00" count="20">
        <d v="2023-01-04T00:00:00"/>
        <d v="2023-01-07T00:00:00"/>
        <d v="2023-01-11T00:00:00"/>
        <d v="2023-01-17T00:00:00"/>
        <d v="2023-01-27T00:00:00"/>
        <d v="2023-01-29T00:00:00"/>
        <d v="2023-02-02T00:00:00"/>
        <d v="2023-02-03T00:00:00"/>
        <d v="2023-02-04T00:00:00"/>
        <d v="2023-02-05T00:00:00"/>
        <d v="2023-02-06T00:00:00"/>
        <d v="2023-02-07T00:00:00"/>
        <d v="2023-02-08T00:00:00"/>
        <d v="2023-02-13T00:00:00"/>
        <d v="2023-02-15T00:00:00"/>
        <d v="2023-02-20T00:00:00"/>
        <d v="2023-02-21T00:00:00"/>
        <d v="2023-02-22T00:00:00"/>
        <d v="2023-02-24T00:00:00"/>
        <d v="2023-02-25T00:00:00"/>
      </sharedItems>
    </cacheField>
    <cacheField name="[Table1].[Date (Month)].[Date (Month)]" caption="Date (Month)" numFmtId="0" hierarchy="15" level="1">
      <sharedItems count="3">
        <s v="Jan"/>
        <s v="Feb"/>
        <s v="Mar"/>
      </sharedItems>
    </cacheField>
    <cacheField name="[Table1].[Date (Quarter)].[Date (Quarter)]" caption="Date (Quarter)" numFmtId="0" hierarchy="14" level="1">
      <sharedItems count="4">
        <s v="Qtr1"/>
        <s v="Qtr2"/>
        <s v="Qtr3"/>
        <s v="Qtr4"/>
      </sharedItems>
    </cacheField>
    <cacheField name="[Table1].[Date (Year)].[Date (Year)]" caption="Date (Year)" numFmtId="0" hierarchy="13" level="1">
      <sharedItems count="1">
        <s v="2023"/>
      </sharedItems>
    </cacheField>
    <cacheField name="[Table1].[Region].[Region]" caption="Region" numFmtId="0" hierarchy="1" level="1">
      <sharedItems containsSemiMixedTypes="0" containsNonDate="0" containsString="0"/>
    </cacheField>
  </cacheFields>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5"/>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DateHierarchy]" caption="DateHierarchy" defaultMemberUniqueName="[Table1].[DateHierarchy].[All]" allUniqueName="[Table1].[DateHierarchy].[All]" dimensionUniqueName="[Table1]" displayFolder="" count="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4"/>
      </fieldsUsage>
    </cacheHierarchy>
    <cacheHierarchy uniqueName="[Table1].[Date (Quarter)]" caption="Date (Quarter)" attribute="1" defaultMemberUniqueName="[Table1].[Date (Quarter)].[All]" allUniqueName="[Table1].[Date (Quarter)].[All]" dimensionUniqueName="[Table1]" displayFolder="" count="2" memberValueDatatype="130" unbalanced="0">
      <fieldsUsage count="2">
        <fieldUsage x="-1"/>
        <fieldUsage x="3"/>
      </fieldsUsage>
    </cacheHierarchy>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cacheHierarchy uniqueName="[Measures].[Total Revenue]" caption="Total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hidden="1"/>
  </cacheHierarchies>
  <kpis count="1">
    <kpi uniqueName="Total Revenue" caption="Total Revenue" displayFolder="" measureGroup="Table1" parent="" value="[Measures].[Total Revenue]" goal="[Measures].[_Total Revenue Goal]" status="[Measures].[_Total Revenue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494675928" createdVersion="5" refreshedVersion="8" minRefreshableVersion="3" recordCount="0" supportSubquery="1" supportAdvancedDrill="1" xr:uid="{427B6AD5-9E84-468F-9E71-FB5FCF9C7882}">
  <cacheSource type="external" connectionId="1"/>
  <cacheFields count="3">
    <cacheField name="[Table1].[Region].[Region]" caption="Region" numFmtId="0" hierarchy="1" level="1">
      <sharedItems count="4">
        <s v="East"/>
        <s v="North"/>
        <s v="South"/>
        <s v="West"/>
      </sharedItems>
    </cacheField>
    <cacheField name="[Measures].[Sum of Sales]" caption="Sum of Sales" numFmtId="0" hierarchy="18" level="32767"/>
    <cacheField name="[Table1].[Date].[Date]" caption="Date" numFmtId="0" hierarchy="4" level="1">
      <sharedItems containsSemiMixedTypes="0" containsNonDate="0" containsString="0"/>
    </cacheField>
  </cacheFields>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DateHierarchy]" caption="DateHierarchy" defaultMemberUniqueName="[Table1].[DateHierarchy].[All]" allUniqueName="[Table1].[DateHierarchy].[All]" dimensionUniqueName="[Table1]" displayFolder="" count="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cacheHierarchy uniqueName="[Measures].[Total Revenue]" caption="Total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hidden="1"/>
  </cacheHierarchies>
  <kpis count="1">
    <kpi uniqueName="Total Revenue" caption="Total Revenue" displayFolder="" measureGroup="Table1" parent="" value="[Measures].[Total Revenue]" goal="[Measures].[_Total Revenue Goal]" status="[Measures].[_Total Revenue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495717591" createdVersion="5" refreshedVersion="8" minRefreshableVersion="3" recordCount="0" supportSubquery="1" supportAdvancedDrill="1" xr:uid="{F46221DB-1BD5-44BF-A290-31241D78F150}">
  <cacheSource type="external" connectionId="1"/>
  <cacheFields count="3">
    <cacheField name="[Measures].[Total Profit]" caption="Total Profit" numFmtId="0" hierarchy="21" level="32767"/>
    <cacheField name="[Table1].[Region].[Region]" caption="Region" numFmtId="0" hierarchy="1" level="1">
      <sharedItems count="4">
        <s v="East"/>
        <s v="North"/>
        <s v="South"/>
        <s v="West"/>
      </sharedItems>
    </cacheField>
    <cacheField name="[Table1].[Date].[Date]" caption="Date" numFmtId="0" hierarchy="4" level="1">
      <sharedItems containsSemiMixedTypes="0" containsNonDate="0" containsString="0"/>
    </cacheField>
  </cacheFields>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DateHierarchy]" caption="DateHierarchy" defaultMemberUniqueName="[Table1].[DateHierarchy].[All]" allUniqueName="[Table1].[DateHierarchy].[All]" dimensionUniqueName="[Table1]" displayFolder="" count="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oneField="1">
      <fieldsUsage count="1">
        <fieldUsage x="0"/>
      </fieldsUsage>
    </cacheHierarchy>
    <cacheHierarchy uniqueName="[Measures].[Total Revenue]" caption="Total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hidden="1"/>
  </cacheHierarchies>
  <kpis count="1">
    <kpi uniqueName="Total Revenue" caption="Total Revenue" displayFolder="" measureGroup="Table1" parent="" value="[Measures].[Total Revenue]" goal="[Measures].[_Total Revenue Goal]" status="[Measures].[_Total Revenue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791087964" createdVersion="5" refreshedVersion="8" minRefreshableVersion="3" recordCount="0" supportSubquery="1" supportAdvancedDrill="1" xr:uid="{C7FA865D-75B3-4AD6-B60A-0600CD320F56}">
  <cacheSource type="external" connectionId="1"/>
  <cacheFields count="4">
    <cacheField name="[Table1].[Date].[Date]" caption="Date" numFmtId="0" hierarchy="4" level="1">
      <sharedItems containsSemiMixedTypes="0" containsNonDate="0" containsDate="1" containsString="0" minDate="2023-01-04T00:00:00" maxDate="2024-01-02T00:00:00" count="163">
        <d v="2023-01-04T00:00:00"/>
        <d v="2023-01-07T00:00:00"/>
        <d v="2023-01-11T00:00:00"/>
        <d v="2023-01-17T00:00:00"/>
        <d v="2023-01-27T00:00:00"/>
        <d v="2023-01-29T00:00:00"/>
        <d v="2023-02-02T00:00:00"/>
        <d v="2023-02-03T00:00:00"/>
        <d v="2023-02-04T00:00:00"/>
        <d v="2023-02-05T00:00:00"/>
        <d v="2023-02-06T00:00:00"/>
        <d v="2023-02-07T00:00:00"/>
        <d v="2023-02-08T00:00:00"/>
        <d v="2023-02-13T00:00:00"/>
        <d v="2023-02-15T00:00:00"/>
        <d v="2023-02-20T00:00:00"/>
        <d v="2023-02-21T00:00:00"/>
        <d v="2023-02-22T00:00:00"/>
        <d v="2023-02-24T00:00:00"/>
        <d v="2023-02-25T00:00:00"/>
        <d v="2023-03-03T00:00:00"/>
        <d v="2023-03-04T00:00:00"/>
        <d v="2023-03-09T00:00:00"/>
        <d v="2023-03-11T00:00:00"/>
        <d v="2023-03-19T00:00:00"/>
        <d v="2023-03-20T00:00:00"/>
        <d v="2023-03-25T00:00:00"/>
        <d v="2023-03-31T00:00:00"/>
        <d v="2023-04-02T00:00:00"/>
        <d v="2023-04-06T00:00:00"/>
        <d v="2023-04-08T00:00:00"/>
        <d v="2023-04-09T00:00:00"/>
        <d v="2023-04-12T00:00:00"/>
        <d v="2023-04-17T00:00:00"/>
        <d v="2023-04-18T00:00:00"/>
        <d v="2023-04-19T00:00:00"/>
        <d v="2023-04-20T00:00:00"/>
        <d v="2023-04-21T00:00:00"/>
        <d v="2023-04-22T00:00:00"/>
        <d v="2023-04-23T00:00:00"/>
        <d v="2023-04-25T00:00:00"/>
        <d v="2023-04-26T00:00:00"/>
        <d v="2023-04-27T00:00:00"/>
        <d v="2023-04-29T00:00:00"/>
        <d v="2023-05-01T00:00:00"/>
        <d v="2023-05-03T00:00:00"/>
        <d v="2023-05-06T00:00:00"/>
        <d v="2023-05-07T00:00:00"/>
        <d v="2023-05-10T00:00:00"/>
        <d v="2023-05-11T00:00:00"/>
        <d v="2023-05-21T00:00:00"/>
        <d v="2023-05-22T00:00:00"/>
        <d v="2023-05-23T00:00:00"/>
        <d v="2023-05-24T00:00:00"/>
        <d v="2023-05-26T00:00:00"/>
        <d v="2023-05-27T00:00:00"/>
        <d v="2023-05-28T00:00:00"/>
        <d v="2023-05-30T00:00:00"/>
        <d v="2023-05-31T00:00:00"/>
        <d v="2023-06-03T00:00:00"/>
        <d v="2023-06-06T00:00:00"/>
        <d v="2023-06-07T00:00:00"/>
        <d v="2023-06-08T00:00:00"/>
        <d v="2023-06-10T00:00:00"/>
        <d v="2023-06-12T00:00:00"/>
        <d v="2023-06-15T00:00:00"/>
        <d v="2023-06-16T00:00:00"/>
        <d v="2023-06-17T00:00:00"/>
        <d v="2023-06-18T00:00:00"/>
        <d v="2023-06-20T00:00:00"/>
        <d v="2023-06-22T00:00:00"/>
        <d v="2023-06-23T00:00:00"/>
        <d v="2023-06-24T00:00:00"/>
        <d v="2023-06-25T00:00:00"/>
        <d v="2023-06-26T00:00:00"/>
        <d v="2023-06-28T00:00:00"/>
        <d v="2023-06-30T00:00:00"/>
        <d v="2023-07-01T00:00:00"/>
        <d v="2023-07-05T00:00:00"/>
        <d v="2023-07-06T00:00:00"/>
        <d v="2023-07-10T00:00:00"/>
        <d v="2023-07-13T00:00:00"/>
        <d v="2023-07-14T00:00:00"/>
        <d v="2023-07-15T00:00:00"/>
        <d v="2023-07-16T00:00:00"/>
        <d v="2023-07-21T00:00:00"/>
        <d v="2023-07-23T00:00:00"/>
        <d v="2023-07-24T00:00:00"/>
        <d v="2023-07-25T00:00:00"/>
        <d v="2023-07-28T00:00:00"/>
        <d v="2023-07-30T00:00:00"/>
        <d v="2023-07-31T00:00:00"/>
        <d v="2023-08-01T00:00:00"/>
        <d v="2023-08-04T00:00:00"/>
        <d v="2023-08-05T00:00:00"/>
        <d v="2023-08-09T00:00:00"/>
        <d v="2023-08-11T00:00:00"/>
        <d v="2023-08-13T00:00:00"/>
        <d v="2023-08-15T00:00:00"/>
        <d v="2023-08-16T00:00:00"/>
        <d v="2023-08-20T00:00:00"/>
        <d v="2023-08-21T00:00:00"/>
        <d v="2023-08-24T00:00:00"/>
        <d v="2023-08-26T00:00:00"/>
        <d v="2023-08-27T00:00:00"/>
        <d v="2023-08-28T00:00:00"/>
        <d v="2023-08-31T00:00:00"/>
        <d v="2023-09-01T00:00:00"/>
        <d v="2023-09-07T00:00:00"/>
        <d v="2023-09-09T00:00:00"/>
        <d v="2023-09-10T00:00:00"/>
        <d v="2023-09-11T00:00:00"/>
        <d v="2023-09-17T00:00:00"/>
        <d v="2023-09-25T00:00:00"/>
        <d v="2023-09-27T00:00:00"/>
        <d v="2023-09-29T00:00:00"/>
        <d v="2023-09-30T00:00:00"/>
        <d v="2023-10-01T00:00:00"/>
        <d v="2023-10-04T00:00:00"/>
        <d v="2023-10-07T00:00:00"/>
        <d v="2023-10-09T00:00:00"/>
        <d v="2023-10-10T00:00:00"/>
        <d v="2023-10-11T00:00:00"/>
        <d v="2023-10-13T00:00:00"/>
        <d v="2023-10-15T00:00:00"/>
        <d v="2023-10-16T00:00:00"/>
        <d v="2023-10-17T00:00:00"/>
        <d v="2023-10-19T00:00:00"/>
        <d v="2023-10-20T00:00:00"/>
        <d v="2023-10-25T00:00:00"/>
        <d v="2023-10-27T00:00:00"/>
        <d v="2023-10-28T00:00:00"/>
        <d v="2023-10-29T00:00:00"/>
        <d v="2023-11-03T00:00:00"/>
        <d v="2023-11-06T00:00:00"/>
        <d v="2023-11-09T00:00:00"/>
        <d v="2023-11-12T00:00:00"/>
        <d v="2023-11-14T00:00:00"/>
        <d v="2023-11-15T00:00:00"/>
        <d v="2023-11-17T00:00:00"/>
        <d v="2023-11-19T00:00:00"/>
        <d v="2023-11-20T00:00:00"/>
        <d v="2023-11-22T00:00:00"/>
        <d v="2023-11-25T00:00:00"/>
        <d v="2023-11-26T00:00:00"/>
        <d v="2023-11-28T00:00:00"/>
        <d v="2023-11-29T00:00:00"/>
        <d v="2023-12-02T00:00:00"/>
        <d v="2023-12-03T00:00:00"/>
        <d v="2023-12-08T00:00:00"/>
        <d v="2023-12-10T00:00:00"/>
        <d v="2023-12-11T00:00:00"/>
        <d v="2023-12-12T00:00:00"/>
        <d v="2023-12-14T00:00:00"/>
        <d v="2023-12-16T00:00:00"/>
        <d v="2023-12-17T00:00:00"/>
        <d v="2023-12-19T00:00:00"/>
        <d v="2023-12-20T00:00:00"/>
        <d v="2023-12-23T00:00:00"/>
        <d v="2023-12-24T00:00:00"/>
        <d v="2023-12-26T00:00:00"/>
        <d v="2023-12-27T00:00:00"/>
        <d v="2024-01-01T00:00:00"/>
      </sharedItems>
    </cacheField>
    <cacheField name="[Measures].[Sum of Sales]" caption="Sum of Sales" numFmtId="0" hierarchy="18" level="32767"/>
    <cacheField name="[Measures].[Sum of Target Achievement]" caption="Sum of Target Achievement" numFmtId="0" hierarchy="19" level="32767"/>
    <cacheField name="[Measures].[_Total Revenue Status]" caption="_Total Revenue Status" numFmtId="0" hierarchy="26" level="32767"/>
  </cacheFields>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0"/>
      </fieldsUsage>
    </cacheHierarchy>
    <cacheHierarchy uniqueName="[Table1].[DateHierarchy]" caption="DateHierarchy" defaultMemberUniqueName="[Table1].[DateHierarchy].[All]" allUniqueName="[Table1].[DateHierarchy].[All]" dimensionUniqueName="[Table1]" displayFolder="" count="4"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oneField="1">
      <fieldsUsage count="1">
        <fieldUsage x="2"/>
      </fieldsUsage>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cacheHierarchy uniqueName="[Measures].[Total Revenue]" caption="Total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oneField="1" hidden="1">
      <fieldsUsage count="1">
        <fieldUsage x="3"/>
      </fieldsUsage>
    </cacheHierarchy>
  </cacheHierarchies>
  <kpis count="1">
    <kpi uniqueName="Total Revenue" caption="Total Revenue" displayFolder="" measureGroup="Table1" parent="" value="[Measures].[Total Revenue]" goal="[Measures].[_Total Revenue Goal]" status="[Measures].[_Total Revenue Status]" trend="" weight=""/>
  </kpi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486458331" createdVersion="3" refreshedVersion="8" minRefreshableVersion="3" recordCount="0" supportSubquery="1" supportAdvancedDrill="1" xr:uid="{4EF66E82-E281-4CDE-B962-57E7C2A5B709}">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DateHierarchy]" caption="DateHierarchy" defaultMemberUniqueName="[Table1].[DateHierarchy].[All]" allUniqueName="[Table1].[DateHierarchy].[All]" dimensionUniqueName="[Table1]" displayFolder="" count="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cacheHierarchy uniqueName="[Measures].[Total Revenue]" caption="Total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hidden="1"/>
  </cacheHierarchies>
  <kpis count="1">
    <kpi uniqueName="Total Revenue" caption="Total Revenue" displayFolder="" measureGroup="Table1" parent="" value="[Measures].[Total Revenue]" goal="[Measures].[_Total Revenue Goal]" status="[Measures].[_Total Revenue Status]" trend="" weight=""/>
  </kpis>
  <extLst>
    <ext xmlns:x14="http://schemas.microsoft.com/office/spreadsheetml/2009/9/main" uri="{725AE2AE-9491-48be-B2B4-4EB974FC3084}">
      <x14:pivotCacheDefinition slicerData="1" pivotCacheId="118812474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t Jadon" refreshedDate="46204.9604869213" createdVersion="3" refreshedVersion="8" minRefreshableVersion="3" recordCount="0" supportSubquery="1" supportAdvancedDrill="1" xr:uid="{28D47725-2A3A-4A5C-B9C9-4D23C422F734}">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SaleID]" caption="SaleID" attribute="1" defaultMemberUniqueName="[Table1].[SaleID].[All]" allUniqueName="[Table1].[SaleID].[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DateHierarchy]" caption="DateHierarchy" defaultMemberUniqueName="[Table1].[DateHierarchy].[All]" allUniqueName="[Table1].[DateHierarchy].[All]" dimensionUniqueName="[Table1]" displayFolder="" count="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6" unbalanced="0"/>
    <cacheHierarchy uniqueName="[Table1].[Sales]" caption="Sales" attribute="1" defaultMemberUniqueName="[Table1].[Sales].[All]" allUniqueName="[Table1].[Sales].[All]" dimensionUniqueName="[Table1]" displayFolder="" count="0" memberValueDatatype="6" unbalanced="0"/>
    <cacheHierarchy uniqueName="[Table1].[Target]" caption="Target" attribute="1" defaultMemberUniqueName="[Table1].[Target].[All]" allUniqueName="[Table1].[Target].[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Target Achievement]" caption="Target Achievement" attribute="1" defaultMemberUniqueName="[Table1].[Target Achievement].[All]" allUniqueName="[Table1].[Target Achievement].[All]" dimensionUniqueName="[Table1]" displayFolder="" count="0" memberValueDatatype="6"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8"/>
        </ext>
      </extLst>
    </cacheHierarchy>
    <cacheHierarchy uniqueName="[Measures].[Sum of Target Achievement]" caption="Sum of Target Achievement" measure="1" displayFolder="" measureGroup="Table1" count="0">
      <extLst>
        <ext xmlns:x15="http://schemas.microsoft.com/office/spreadsheetml/2010/11/main" uri="{B97F6D7D-B522-45F9-BDA1-12C45D357490}">
          <x15:cacheHierarchy aggregatedColumn="16"/>
        </ext>
      </extLst>
    </cacheHierarchy>
    <cacheHierarchy uniqueName="[Measures].[Total Cost]" caption="Total Cost" measure="1" displayFolder="" measureGroup="Table1" count="0"/>
    <cacheHierarchy uniqueName="[Measures].[Total Profit]" caption="Total Profit" measure="1" displayFolder="" measureGroup="Table1" count="0"/>
    <cacheHierarchy uniqueName="[Measures].[Total Revenue]" caption="Total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_Total Revenue Goal]" caption="_Total Revenue Goal" measure="1" displayFolder="" measureGroup="Table1" count="0" hidden="1"/>
    <cacheHierarchy uniqueName="[Measures].[_Total Revenue Status]" caption="_Total Revenue Status" measure="1" iconSet="11" displayFolder="" measureGroup="Table1" count="0" hidden="1"/>
  </cacheHierarchies>
  <kpis count="1">
    <kpi uniqueName="Total Revenue" caption="Total Revenue" displayFolder="" measureGroup="Table1" parent="" value="[Measures].[Total Revenue]" goal="[Measures].[_Total Revenue Goal]" status="[Measures].[_Total Revenue Status]" trend="" weight=""/>
  </kpis>
  <extLst>
    <ext xmlns:x14="http://schemas.microsoft.com/office/spreadsheetml/2009/9/main" uri="{725AE2AE-9491-48be-B2B4-4EB974FC3084}">
      <x14:pivotCacheDefinition pivotCacheId="13854221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n v="968"/>
  </r>
  <r>
    <n v="2"/>
    <x v="1"/>
    <n v="195"/>
  </r>
  <r>
    <n v="3"/>
    <x v="2"/>
    <n v="3332"/>
  </r>
  <r>
    <n v="4"/>
    <x v="3"/>
    <n v="2442"/>
  </r>
  <r>
    <n v="5"/>
    <x v="4"/>
    <n v="1124"/>
  </r>
  <r>
    <n v="6"/>
    <x v="5"/>
    <n v="3700"/>
  </r>
  <r>
    <n v="7"/>
    <x v="6"/>
    <n v="1330"/>
  </r>
  <r>
    <n v="8"/>
    <x v="7"/>
    <n v="292"/>
  </r>
  <r>
    <n v="9"/>
    <x v="8"/>
    <n v="2688"/>
  </r>
  <r>
    <n v="10"/>
    <x v="9"/>
    <n v="3144"/>
  </r>
  <r>
    <n v="11"/>
    <x v="10"/>
    <n v="1068"/>
  </r>
  <r>
    <n v="12"/>
    <x v="11"/>
    <n v="5778"/>
  </r>
  <r>
    <n v="13"/>
    <x v="12"/>
    <n v="835"/>
  </r>
  <r>
    <n v="14"/>
    <x v="3"/>
    <n v="4040"/>
  </r>
  <r>
    <n v="15"/>
    <x v="7"/>
    <n v="5859"/>
  </r>
  <r>
    <n v="16"/>
    <x v="0"/>
    <n v="964"/>
  </r>
  <r>
    <n v="17"/>
    <x v="1"/>
    <n v="2733"/>
  </r>
  <r>
    <n v="18"/>
    <x v="1"/>
    <n v="5790"/>
  </r>
  <r>
    <n v="19"/>
    <x v="8"/>
    <n v="7812"/>
  </r>
  <r>
    <n v="20"/>
    <x v="8"/>
    <n v="16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9C753-C13E-4501-9C72-A9C38AB9671F}" name="PivotTable11" cacheId="1904" applyNumberFormats="0" applyBorderFormats="0" applyFontFormats="0" applyPatternFormats="0" applyAlignmentFormats="0" applyWidthHeightFormats="1" dataCaption="Values" tag="f64826d7-0db2-41b3-80ed-befac9699647" updatedVersion="8" minRefreshableVersion="3" useAutoFormatting="1" itemPrintTitles="1" createdVersion="5" indent="0" outline="1" outlineData="1" multipleFieldFilters="0">
  <location ref="B3:E167" firstHeaderRow="0" firstDataRow="1" firstDataCol="1"/>
  <pivotFields count="4">
    <pivotField axis="axisRow" allDrilled="1" subtotalTop="0" showAll="0" dataSourceSort="1" defaultSubtotal="0" defaultAttributeDrillState="1">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s>
    </pivotField>
    <pivotField dataField="1" subtotalTop="0" showAll="0" defaultSubtotal="0"/>
    <pivotField dataField="1" subtotalTop="0" showAll="0" defaultSubtotal="0"/>
    <pivotField dataField="1" subtotalTop="0" showAll="0" defaultSubtotal="0"/>
  </pivotFields>
  <rowFields count="1">
    <field x="0"/>
  </rowFields>
  <rowItems count="1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t="grand">
      <x/>
    </i>
  </rowItems>
  <colFields count="1">
    <field x="-2"/>
  </colFields>
  <colItems count="3">
    <i>
      <x/>
    </i>
    <i i="1">
      <x v="1"/>
    </i>
    <i i="2">
      <x v="2"/>
    </i>
  </colItems>
  <dataFields count="3">
    <dataField name="Sum of Sales" fld="1" baseField="0" baseItem="0"/>
    <dataField name="Sum of Target Achievement" fld="2" baseField="0" baseItem="0"/>
    <dataField name="Total Revenue Status" fld="3"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28">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8174D4-A14B-4600-A3E8-CA85B2DDBCAD}" name="PivotTable10" cacheId="1877" applyNumberFormats="0" applyBorderFormats="0" applyFontFormats="0" applyPatternFormats="0" applyAlignmentFormats="0" applyWidthHeightFormats="1" dataCaption="Values" tag="14ac7a57-93bf-4fa3-8e8c-5acf9a2decc1" updatedVersion="8" minRefreshableVersion="5" useAutoFormatting="1" itemPrintTitles="1" createdVersion="5" indent="0" outline="1" outlineData="1" multipleFieldFilters="0" rowHeaderCaption="Regions">
  <location ref="B3:C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Total Revenue" fld="2" subtotal="count" baseField="0" baseItem="0"/>
  </dataFields>
  <pivotHierarchies count="28">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dateBetween" evalOrder="-1" id="40" name="[Table1].[Date]">
      <autoFilter ref="A1">
        <filterColumn colId="0">
          <customFilters and="1">
            <customFilter operator="greaterThanOrEqual" val="4510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03FCD6-A957-418B-A548-CCC99AC9640C}" name="PivotTable5" cacheId="1880" applyNumberFormats="0" applyBorderFormats="0" applyFontFormats="0" applyPatternFormats="0" applyAlignmentFormats="0" applyWidthHeightFormats="1" dataCaption="Values" tag="9a265bdd-8f88-4283-a919-8b9a34dbed22" updatedVersion="8" minRefreshableVersion="5" useAutoFormatting="1" itemPrintTitles="1" createdVersion="5" indent="0" outline="1" outlineData="1" multipleFieldFilters="0" chartFormat="1">
  <location ref="B3:C5" firstHeaderRow="1" firstDataRow="1" firstDataCol="1"/>
  <pivotFields count="6">
    <pivotField axis="axisRow" allDrilled="1" subtotalTop="0" showAll="0" dataSourceSort="1" defaultSubtotal="0">
      <items count="1">
        <item c="1" x="0"/>
      </items>
    </pivotField>
    <pivotField axis="axisRow" subtotalTop="0" showAll="0" dataSourceSort="1" defaultSubtotal="0">
      <items count="5">
        <item c="1" x="0" d="1"/>
        <item c="1" x="1" d="1"/>
        <item c="1" x="2" d="1"/>
        <item c="1" x="3" d="1"/>
        <item c="1" x="4" d="1"/>
      </items>
    </pivotField>
    <pivotField axis="axisRow" subtotalTop="0" showAll="0" dataSourceSort="1"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Total Revenue" fld="3"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4" type="dateBetween" evalOrder="-1" id="40" name="[Table1].[Date]">
      <autoFilter ref="A1">
        <filterColumn colId="0">
          <customFilters and="1">
            <customFilter operator="greaterThanOrEqual" val="4510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23AACB-349F-4BC6-A091-3A0E61BE4B8C}" name="PivotTable4" cacheId="1895" applyNumberFormats="0" applyBorderFormats="0" applyFontFormats="0" applyPatternFormats="0" applyAlignmentFormats="0" applyWidthHeightFormats="1" dataCaption="Values" tag="2ad5001d-dfc3-4c2b-885b-103d8f0d0fbc" updatedVersion="8" minRefreshableVersion="5" useAutoFormatting="1" itemPrintTitles="1" createdVersion="5" indent="0" outline="1" outlineData="1" multipleFieldFilters="0" chartFormat="3">
  <location ref="B3:C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2" type="dateBetween" evalOrder="-1" id="40" name="[Table1].[Date]">
      <autoFilter ref="A1">
        <filterColumn colId="0">
          <customFilters and="1">
            <customFilter operator="greaterThanOrEqual" val="4510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2479FF-1B6D-47AC-A3EC-B78AA0F10FDD}" name="PivotTable3" cacheId="1892" applyNumberFormats="0" applyBorderFormats="0" applyFontFormats="0" applyPatternFormats="0" applyAlignmentFormats="0" applyWidthHeightFormats="1" dataCaption="Values" tag="1c5a2976-fb22-48e7-b18b-f42253354ca7" updatedVersion="8" minRefreshableVersion="5" useAutoFormatting="1" itemPrintTitles="1" createdVersion="5" indent="0" outline="1" outlineData="1" multipleFieldFilters="0" chartFormat="3" rowHeaderCaption="Regions">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2" type="dateBetween" evalOrder="-1" id="40" name="[Table1].[Date]">
      <autoFilter ref="A1">
        <filterColumn colId="0">
          <customFilters and="1">
            <customFilter operator="greaterThanOrEqual" val="4510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D80549-9614-496A-999C-B4B4511D2BAF}" name="PivotTable1" cacheId="1889" applyNumberFormats="0" applyBorderFormats="0" applyFontFormats="0" applyPatternFormats="0" applyAlignmentFormats="0" applyWidthHeightFormats="1" dataCaption="Values" tag="81a0a7f8-5fcd-421e-b7f5-5d60a6ae2835" updatedVersion="8" minRefreshableVersion="5" useAutoFormatting="1" itemPrintTitles="1" createdVersion="5" indent="0" outline="1" outlineData="1" multipleFieldFilters="0">
  <location ref="B4:C6" firstHeaderRow="1" firstDataRow="1" firstDataCol="1"/>
  <pivotFields count="6">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items count="3">
        <item x="0"/>
        <item x="1"/>
        <item x="2" e="0"/>
      </items>
    </pivotField>
    <pivotField axis="axisRow" allDrilled="1" subtotalTop="0" showAll="0" dataSourceSort="1" defaultSubtotal="0">
      <items count="4">
        <item x="0"/>
        <item x="1" e="0"/>
        <item x="2" e="0"/>
        <item x="3" e="0"/>
      </items>
    </pivotField>
    <pivotField axis="axisRow" allDrilled="1" subtotalTop="0" showAll="0" dataSourceSort="1" defaultSubtotal="0">
      <items count="1">
        <item x="0" e="0"/>
      </items>
    </pivotField>
    <pivotField allDrilled="1" subtotalTop="0" showAll="0" dataSourceSort="1" defaultSubtotal="0" defaultAttributeDrillState="1"/>
  </pivotFields>
  <rowFields count="4">
    <field x="4"/>
    <field x="3"/>
    <field x="2"/>
    <field x="1"/>
  </rowFields>
  <rowItems count="2">
    <i>
      <x/>
    </i>
    <i t="grand">
      <x/>
    </i>
  </rowItems>
  <colItems count="1">
    <i/>
  </colItems>
  <dataFields count="1">
    <dataField name="Sum of Sales" fld="0" baseField="0" baseItem="0"/>
  </dataFields>
  <pivotHierarchies count="28">
    <pivotHierarchy dragToData="1"/>
    <pivotHierarchy multipleItemSelectionAllowed="1" dragToData="1"/>
    <pivotHierarchy multipleItemSelectionAllowed="1" dragToData="1"/>
    <pivotHierarchy multipleItemSelectionAllowed="1"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1" type="dateBetween" evalOrder="-1" id="40" name="[Table1].[Date]">
      <autoFilter ref="A1">
        <filterColumn colId="0">
          <customFilters and="1">
            <customFilter operator="greaterThanOrEqual" val="45108"/>
            <customFilter operator="lessThanOrEqual" val="45199"/>
          </customFilters>
        </filterColumn>
      </autoFilter>
      <extLst>
        <ext xmlns:x15="http://schemas.microsoft.com/office/spreadsheetml/2010/11/main" uri="{0605FD5F-26C8-4aeb-8148-2DB25E43C511}">
          <x15:pivotFilter useWholeDay="1"/>
        </ext>
      </extLst>
    </filter>
  </filters>
  <rowHierarchiesUsage count="4">
    <rowHierarchyUsage hierarchyUsage="13"/>
    <rowHierarchyUsage hierarchyUsage="14"/>
    <rowHierarchyUsage hierarchyUsage="15"/>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CACFBD-2C00-4FFA-BBF7-2AA213082942}" name="PivotTable7" cacheId="1874" applyNumberFormats="0" applyBorderFormats="0" applyFontFormats="0" applyPatternFormats="0" applyAlignmentFormats="0" applyWidthHeightFormats="1" dataCaption="Values" tag="12f500a9-a240-4570-965a-6617188a36b8" updatedVersion="8" minRefreshableVersion="5" useAutoFormatting="1" itemPrintTitles="1" createdVersion="5" indent="0" outline="1" outlineData="1" multipleFieldFilters="0" chartFormat="5" rowHeaderCaption="Product">
  <location ref="B3:D18" firstHeaderRow="0" firstDataRow="1" firstDataCol="1"/>
  <pivotFields count="5">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Total Revenue"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8">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3" type="dateBetween" evalOrder="-1" id="40" name="[Table1].[Date]">
      <autoFilter ref="A1">
        <filterColumn colId="0">
          <customFilters and="1">
            <customFilter operator="greaterThanOrEqual" val="4510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7B5A84-8899-4E38-BF62-240F84988BAA}" name="PivotTable6" cacheId="1883" applyNumberFormats="0" applyBorderFormats="0" applyFontFormats="0" applyPatternFormats="0" applyAlignmentFormats="0" applyWidthHeightFormats="1" dataCaption="Values" tag="ddf65886-0c1b-40fe-80ee-c6bb09617053" updatedVersion="8" minRefreshableVersion="5" useAutoFormatting="1" itemPrintTitles="1" createdVersion="5" indent="0" outline="1" outlineData="1" multipleFieldFilters="0" chartFormat="3" rowHeaderCaption="Category">
  <location ref="B3:C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28">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2" type="dateBetween" evalOrder="-1" id="40" name="[Table1].[Date]">
      <autoFilter ref="A1">
        <filterColumn colId="0">
          <customFilters and="1">
            <customFilter operator="greaterThanOrEqual" val="4510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4FDE62-85CE-4DA5-9D59-D7546E152CA4}" name="PivotTable9" cacheId="1886" applyNumberFormats="0" applyBorderFormats="0" applyFontFormats="0" applyPatternFormats="0" applyAlignmentFormats="0" applyWidthHeightFormats="1" dataCaption="Values" tag="3dbbca8b-57d6-45b7-9a85-02e1a38b51e2" updatedVersion="8" minRefreshableVersion="5" useAutoFormatting="1" itemPrintTitles="1" createdVersion="5" indent="0" outline="1" outlineData="1" multipleFieldFilters="0" chartFormat="4" rowHeaderCaption="Region">
  <location ref="B3:D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Total Revenue"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8">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3" type="dateBetween" evalOrder="-1" id="40" name="[Table1].[Date]">
      <autoFilter ref="A1">
        <filterColumn colId="0">
          <customFilters and="1">
            <customFilter operator="greaterThanOrEqual" val="4510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5EE92A-B20F-4103-B1ED-7857811EC4AB}" name="PivotTable2"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 firstHeaderRow="0" firstDataRow="1" firstDataCol="1"/>
  <pivotFields count="4">
    <pivotField showAll="0"/>
    <pivotField axis="axisRow" showAll="0">
      <items count="14">
        <item x="5"/>
        <item x="11"/>
        <item x="1"/>
        <item x="6"/>
        <item x="9"/>
        <item x="12"/>
        <item x="0"/>
        <item x="10"/>
        <item x="4"/>
        <item x="7"/>
        <item x="8"/>
        <item x="2"/>
        <item x="3"/>
        <item t="default"/>
      </items>
    </pivotField>
    <pivotField dataField="1" showAll="0"/>
    <pivotField dataField="1" dragToRow="0" dragToCol="0" dragToPage="0" showAll="0" defaultSubtotal="0"/>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fld="2" baseField="0" baseItem="0"/>
    <dataField name="Sum of SalesWith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54724E-83E6-4C35-B7DD-60F86F6C9C81}" sourceName="[Table1].[Region]">
  <pivotTables>
    <pivotTable tabId="10" name="PivotTable7"/>
    <pivotTable tabId="7" name="PivotTable4"/>
    <pivotTable tabId="13" name="PivotTable10"/>
    <pivotTable tabId="8" name="PivotTable5"/>
    <pivotTable tabId="9" name="PivotTable6"/>
    <pivotTable tabId="12" name="PivotTable9"/>
    <pivotTable tabId="3" name="PivotTable1"/>
    <pivotTable tabId="6" name="PivotTable3"/>
  </pivotTables>
  <data>
    <olap pivotCacheId="1188124743">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CAA419-9D0B-4755-9658-C85CD6A1B36E}"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E3BBF2-22EF-462B-B6E0-24125ACAA883}" name="Table1" displayName="Table1" ref="A1:M201" totalsRowShown="0" dataDxfId="3">
  <autoFilter ref="A1:M201" xr:uid="{1FE3BBF2-22EF-462B-B6E0-24125ACAA883}"/>
  <tableColumns count="13">
    <tableColumn id="2" xr3:uid="{826DDD23-048C-437F-A5B4-1B9D57032D2E}" name="SaleID" dataDxfId="14"/>
    <tableColumn id="3" xr3:uid="{24BD6596-4E27-4E3C-8002-A901A36850EC}" name="Region" dataDxfId="13"/>
    <tableColumn id="4" xr3:uid="{A0973FA0-E1C7-467F-8ED3-288371E0DD21}" name="Category" dataDxfId="12"/>
    <tableColumn id="5" xr3:uid="{7A13156B-4C08-4A45-9F34-C355FE96E3D6}" name="Product" dataDxfId="11"/>
    <tableColumn id="6" xr3:uid="{12FF0CB9-5421-4402-8F8D-0F60B7D0A6A6}" name="Date" dataDxfId="10"/>
    <tableColumn id="7" xr3:uid="{68BB59D5-65FD-4EF6-94C1-F67B7E2D1ED5}" name="Qauntity" dataDxfId="9"/>
    <tableColumn id="8" xr3:uid="{4C585244-4DBD-4E2A-B2DC-2E05E064FF41}" name="Unit Price" dataDxfId="8"/>
    <tableColumn id="9" xr3:uid="{E093B6D3-816C-4B84-9A58-363A3007032C}" name="Sales">
      <calculatedColumnFormula>F2*G2</calculatedColumnFormula>
    </tableColumn>
    <tableColumn id="10" xr3:uid="{518AB951-C5CF-4C68-BD63-CE8044110A7A}" name="Target" dataDxfId="7"/>
    <tableColumn id="11" xr3:uid="{AA477707-E400-4954-B416-1EF9D694167E}" name="Year" dataDxfId="6"/>
    <tableColumn id="12" xr3:uid="{82412FB1-4853-4C78-B965-F1BE88643A49}" name="Quarter" dataDxfId="5"/>
    <tableColumn id="13" xr3:uid="{60A74314-974D-478D-B579-ED63DD838544}" name="Month" dataDxfId="4"/>
    <tableColumn id="14" xr3:uid="{5642D041-23BF-4FBD-A4F8-FD6AF7D2D03B}" name="Target Lef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07FCC1A-D1F8-4020-8BB9-EE6FABD3D518}" sourceName="[Table1].[Date]">
  <pivotTables>
    <pivotTable tabId="10" name="PivotTable7"/>
    <pivotTable tabId="7" name="PivotTable4"/>
    <pivotTable tabId="13" name="PivotTable10"/>
    <pivotTable tabId="8" name="PivotTable5"/>
    <pivotTable tabId="9" name="PivotTable6"/>
    <pivotTable tabId="12" name="PivotTable9"/>
    <pivotTable tabId="3" name="PivotTable1"/>
    <pivotTable tabId="6" name="PivotTable3"/>
  </pivotTables>
  <state minimalRefreshVersion="6" lastRefreshVersion="6" pivotCacheId="1385422175" filterType="dateBetween">
    <selection startDate="2023-07-01T00:00:00" endDate="2023-09-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40D100A-2F50-4C97-BF0B-8ECA12D3843D}" cache="Timeline_Date" caption="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23288-5BCF-4F6D-A3EC-6F342988C787}">
  <dimension ref="B3:E167"/>
  <sheetViews>
    <sheetView workbookViewId="0">
      <selection activeCell="B3" sqref="B3"/>
    </sheetView>
  </sheetViews>
  <sheetFormatPr defaultRowHeight="14.4" x14ac:dyDescent="0.3"/>
  <cols>
    <col min="2" max="2" width="12.5546875" bestFit="1" customWidth="1"/>
    <col min="3" max="3" width="12.109375" bestFit="1" customWidth="1"/>
    <col min="4" max="4" width="24.6640625" bestFit="1" customWidth="1"/>
    <col min="5" max="5" width="18.88671875" bestFit="1" customWidth="1"/>
  </cols>
  <sheetData>
    <row r="3" spans="2:5" x14ac:dyDescent="0.3">
      <c r="B3" s="16" t="s">
        <v>53</v>
      </c>
      <c r="C3" t="s">
        <v>55</v>
      </c>
      <c r="D3" t="s">
        <v>63</v>
      </c>
      <c r="E3" t="s">
        <v>64</v>
      </c>
    </row>
    <row r="4" spans="2:5" x14ac:dyDescent="0.3">
      <c r="B4" s="19">
        <v>44930</v>
      </c>
      <c r="C4" s="18">
        <v>4872</v>
      </c>
      <c r="D4" s="20">
        <v>1.9488000000000001</v>
      </c>
      <c r="E4" s="7">
        <v>1</v>
      </c>
    </row>
    <row r="5" spans="2:5" x14ac:dyDescent="0.3">
      <c r="B5" s="19">
        <v>44933</v>
      </c>
      <c r="C5" s="18">
        <v>6594</v>
      </c>
      <c r="D5" s="20">
        <v>2.6375999999999999</v>
      </c>
      <c r="E5" s="7">
        <v>1</v>
      </c>
    </row>
    <row r="6" spans="2:5" x14ac:dyDescent="0.3">
      <c r="B6" s="19">
        <v>44937</v>
      </c>
      <c r="C6" s="18">
        <v>2560</v>
      </c>
      <c r="D6" s="20">
        <v>1.7067000000000001</v>
      </c>
      <c r="E6" s="7">
        <v>0</v>
      </c>
    </row>
    <row r="7" spans="2:5" x14ac:dyDescent="0.3">
      <c r="B7" s="19">
        <v>44943</v>
      </c>
      <c r="C7" s="18">
        <v>3159</v>
      </c>
      <c r="D7" s="20">
        <v>1.5908</v>
      </c>
      <c r="E7" s="7">
        <v>1</v>
      </c>
    </row>
    <row r="8" spans="2:5" x14ac:dyDescent="0.3">
      <c r="B8" s="19">
        <v>44953</v>
      </c>
      <c r="C8" s="18">
        <v>1498</v>
      </c>
      <c r="D8" s="20">
        <v>0.59919999999999995</v>
      </c>
      <c r="E8" s="7">
        <v>0</v>
      </c>
    </row>
    <row r="9" spans="2:5" x14ac:dyDescent="0.3">
      <c r="B9" s="19">
        <v>44955</v>
      </c>
      <c r="C9" s="18">
        <v>2335</v>
      </c>
      <c r="D9" s="20">
        <v>1.1675</v>
      </c>
      <c r="E9" s="7">
        <v>0</v>
      </c>
    </row>
    <row r="10" spans="2:5" x14ac:dyDescent="0.3">
      <c r="B10" s="19">
        <v>44959</v>
      </c>
      <c r="C10" s="18">
        <v>4472</v>
      </c>
      <c r="D10" s="20">
        <v>2.2360000000000002</v>
      </c>
      <c r="E10" s="7">
        <v>1</v>
      </c>
    </row>
    <row r="11" spans="2:5" x14ac:dyDescent="0.3">
      <c r="B11" s="19">
        <v>44960</v>
      </c>
      <c r="C11" s="18">
        <v>1143</v>
      </c>
      <c r="D11" s="20">
        <v>0.57150000000000001</v>
      </c>
      <c r="E11" s="7">
        <v>0</v>
      </c>
    </row>
    <row r="12" spans="2:5" x14ac:dyDescent="0.3">
      <c r="B12" s="19">
        <v>44961</v>
      </c>
      <c r="C12" s="18">
        <v>1902</v>
      </c>
      <c r="D12" s="20">
        <v>1.9019999999999999</v>
      </c>
      <c r="E12" s="7">
        <v>0</v>
      </c>
    </row>
    <row r="13" spans="2:5" x14ac:dyDescent="0.3">
      <c r="B13" s="19">
        <v>44962</v>
      </c>
      <c r="C13" s="18">
        <v>7956</v>
      </c>
      <c r="D13" s="20">
        <v>5.3040000000000003</v>
      </c>
      <c r="E13" s="7">
        <v>1</v>
      </c>
    </row>
    <row r="14" spans="2:5" x14ac:dyDescent="0.3">
      <c r="B14" s="19">
        <v>44963</v>
      </c>
      <c r="C14" s="18">
        <v>1480</v>
      </c>
      <c r="D14" s="20">
        <v>0.98670000000000002</v>
      </c>
      <c r="E14" s="7">
        <v>0</v>
      </c>
    </row>
    <row r="15" spans="2:5" x14ac:dyDescent="0.3">
      <c r="B15" s="19">
        <v>44964</v>
      </c>
      <c r="C15" s="18">
        <v>569</v>
      </c>
      <c r="D15" s="20">
        <v>0.56899999999999995</v>
      </c>
      <c r="E15" s="7">
        <v>-1</v>
      </c>
    </row>
    <row r="16" spans="2:5" x14ac:dyDescent="0.3">
      <c r="B16" s="19">
        <v>44965</v>
      </c>
      <c r="C16" s="18">
        <v>7200</v>
      </c>
      <c r="D16" s="20">
        <v>3.6</v>
      </c>
      <c r="E16" s="7">
        <v>1</v>
      </c>
    </row>
    <row r="17" spans="2:5" x14ac:dyDescent="0.3">
      <c r="B17" s="19">
        <v>44970</v>
      </c>
      <c r="C17" s="18">
        <v>4232</v>
      </c>
      <c r="D17" s="20">
        <v>1.6928000000000001</v>
      </c>
      <c r="E17" s="7">
        <v>1</v>
      </c>
    </row>
    <row r="18" spans="2:5" x14ac:dyDescent="0.3">
      <c r="B18" s="19">
        <v>44972</v>
      </c>
      <c r="C18" s="18">
        <v>2148</v>
      </c>
      <c r="D18" s="20">
        <v>1.0740000000000001</v>
      </c>
      <c r="E18" s="7">
        <v>0</v>
      </c>
    </row>
    <row r="19" spans="2:5" x14ac:dyDescent="0.3">
      <c r="B19" s="19">
        <v>44977</v>
      </c>
      <c r="C19" s="18">
        <v>3942</v>
      </c>
      <c r="D19" s="20">
        <v>1.9710000000000001</v>
      </c>
      <c r="E19" s="7">
        <v>1</v>
      </c>
    </row>
    <row r="20" spans="2:5" x14ac:dyDescent="0.3">
      <c r="B20" s="19">
        <v>44978</v>
      </c>
      <c r="C20" s="18">
        <v>2688</v>
      </c>
      <c r="D20" s="20">
        <v>1.0751999999999999</v>
      </c>
      <c r="E20" s="7">
        <v>0</v>
      </c>
    </row>
    <row r="21" spans="2:5" x14ac:dyDescent="0.3">
      <c r="B21" s="19">
        <v>44979</v>
      </c>
      <c r="C21" s="18">
        <v>687</v>
      </c>
      <c r="D21" s="20">
        <v>0.34350000000000003</v>
      </c>
      <c r="E21" s="7">
        <v>-1</v>
      </c>
    </row>
    <row r="22" spans="2:5" x14ac:dyDescent="0.3">
      <c r="B22" s="19">
        <v>44981</v>
      </c>
      <c r="C22" s="18">
        <v>2331</v>
      </c>
      <c r="D22" s="20">
        <v>1.1655</v>
      </c>
      <c r="E22" s="7">
        <v>0</v>
      </c>
    </row>
    <row r="23" spans="2:5" x14ac:dyDescent="0.3">
      <c r="B23" s="19">
        <v>44982</v>
      </c>
      <c r="C23" s="18">
        <v>3512</v>
      </c>
      <c r="D23" s="20">
        <v>3.1173000000000002</v>
      </c>
      <c r="E23" s="7">
        <v>1</v>
      </c>
    </row>
    <row r="24" spans="2:5" x14ac:dyDescent="0.3">
      <c r="B24" s="19">
        <v>44988</v>
      </c>
      <c r="C24" s="18">
        <v>1320</v>
      </c>
      <c r="D24" s="20">
        <v>1.32</v>
      </c>
      <c r="E24" s="7">
        <v>0</v>
      </c>
    </row>
    <row r="25" spans="2:5" x14ac:dyDescent="0.3">
      <c r="B25" s="19">
        <v>44989</v>
      </c>
      <c r="C25" s="18">
        <v>1888</v>
      </c>
      <c r="D25" s="20">
        <v>0.75519999999999998</v>
      </c>
      <c r="E25" s="7">
        <v>0</v>
      </c>
    </row>
    <row r="26" spans="2:5" x14ac:dyDescent="0.3">
      <c r="B26" s="19">
        <v>44994</v>
      </c>
      <c r="C26" s="18">
        <v>466</v>
      </c>
      <c r="D26" s="20">
        <v>0.31069999999999998</v>
      </c>
      <c r="E26" s="7">
        <v>-1</v>
      </c>
    </row>
    <row r="27" spans="2:5" x14ac:dyDescent="0.3">
      <c r="B27" s="19">
        <v>44996</v>
      </c>
      <c r="C27" s="18">
        <v>2288</v>
      </c>
      <c r="D27" s="20">
        <v>2.2879999999999998</v>
      </c>
      <c r="E27" s="7">
        <v>0</v>
      </c>
    </row>
    <row r="28" spans="2:5" x14ac:dyDescent="0.3">
      <c r="B28" s="19">
        <v>45004</v>
      </c>
      <c r="C28" s="18">
        <v>1968</v>
      </c>
      <c r="D28" s="20">
        <v>1.3120000000000001</v>
      </c>
      <c r="E28" s="7">
        <v>0</v>
      </c>
    </row>
    <row r="29" spans="2:5" x14ac:dyDescent="0.3">
      <c r="B29" s="19">
        <v>45005</v>
      </c>
      <c r="C29" s="18">
        <v>8013</v>
      </c>
      <c r="D29" s="20">
        <v>4.6132</v>
      </c>
      <c r="E29" s="7">
        <v>1</v>
      </c>
    </row>
    <row r="30" spans="2:5" x14ac:dyDescent="0.3">
      <c r="B30" s="19">
        <v>45010</v>
      </c>
      <c r="C30" s="18">
        <v>1050</v>
      </c>
      <c r="D30" s="20">
        <v>1.05</v>
      </c>
      <c r="E30" s="7">
        <v>0</v>
      </c>
    </row>
    <row r="31" spans="2:5" x14ac:dyDescent="0.3">
      <c r="B31" s="19">
        <v>45016</v>
      </c>
      <c r="C31" s="18">
        <v>765</v>
      </c>
      <c r="D31" s="20">
        <v>0.51</v>
      </c>
      <c r="E31" s="7">
        <v>-1</v>
      </c>
    </row>
    <row r="32" spans="2:5" x14ac:dyDescent="0.3">
      <c r="B32" s="19">
        <v>45018</v>
      </c>
      <c r="C32" s="18">
        <v>5406</v>
      </c>
      <c r="D32" s="20">
        <v>2.1623999999999999</v>
      </c>
      <c r="E32" s="7">
        <v>1</v>
      </c>
    </row>
    <row r="33" spans="2:5" x14ac:dyDescent="0.3">
      <c r="B33" s="19">
        <v>45022</v>
      </c>
      <c r="C33" s="18">
        <v>1418</v>
      </c>
      <c r="D33" s="20">
        <v>1.4179999999999999</v>
      </c>
      <c r="E33" s="7">
        <v>0</v>
      </c>
    </row>
    <row r="34" spans="2:5" x14ac:dyDescent="0.3">
      <c r="B34" s="19">
        <v>45024</v>
      </c>
      <c r="C34" s="18">
        <v>2334</v>
      </c>
      <c r="D34" s="20">
        <v>0.93359999999999999</v>
      </c>
      <c r="E34" s="7">
        <v>0</v>
      </c>
    </row>
    <row r="35" spans="2:5" x14ac:dyDescent="0.3">
      <c r="B35" s="19">
        <v>45025</v>
      </c>
      <c r="C35" s="18">
        <v>1332</v>
      </c>
      <c r="D35" s="20">
        <v>0.88800000000000001</v>
      </c>
      <c r="E35" s="7">
        <v>0</v>
      </c>
    </row>
    <row r="36" spans="2:5" x14ac:dyDescent="0.3">
      <c r="B36" s="19">
        <v>45028</v>
      </c>
      <c r="C36" s="18">
        <v>6811</v>
      </c>
      <c r="D36" s="20">
        <v>2.7244000000000002</v>
      </c>
      <c r="E36" s="7">
        <v>1</v>
      </c>
    </row>
    <row r="37" spans="2:5" x14ac:dyDescent="0.3">
      <c r="B37" s="19">
        <v>45033</v>
      </c>
      <c r="C37" s="18">
        <v>1480</v>
      </c>
      <c r="D37" s="20">
        <v>1.48</v>
      </c>
      <c r="E37" s="7">
        <v>0</v>
      </c>
    </row>
    <row r="38" spans="2:5" x14ac:dyDescent="0.3">
      <c r="B38" s="19">
        <v>45034</v>
      </c>
      <c r="C38" s="18">
        <v>3128</v>
      </c>
      <c r="D38" s="20">
        <v>3.1280000000000001</v>
      </c>
      <c r="E38" s="7">
        <v>1</v>
      </c>
    </row>
    <row r="39" spans="2:5" x14ac:dyDescent="0.3">
      <c r="B39" s="19">
        <v>45035</v>
      </c>
      <c r="C39" s="18">
        <v>7512</v>
      </c>
      <c r="D39" s="20">
        <v>3.3519999999999999</v>
      </c>
      <c r="E39" s="7">
        <v>1</v>
      </c>
    </row>
    <row r="40" spans="2:5" x14ac:dyDescent="0.3">
      <c r="B40" s="19">
        <v>45036</v>
      </c>
      <c r="C40" s="18">
        <v>2115</v>
      </c>
      <c r="D40" s="20">
        <v>0.84599999999999997</v>
      </c>
      <c r="E40" s="7">
        <v>0</v>
      </c>
    </row>
    <row r="41" spans="2:5" x14ac:dyDescent="0.3">
      <c r="B41" s="19">
        <v>45037</v>
      </c>
      <c r="C41" s="18">
        <v>1224</v>
      </c>
      <c r="D41" s="20">
        <v>1.224</v>
      </c>
      <c r="E41" s="7">
        <v>0</v>
      </c>
    </row>
    <row r="42" spans="2:5" x14ac:dyDescent="0.3">
      <c r="B42" s="19">
        <v>45038</v>
      </c>
      <c r="C42" s="18">
        <v>693</v>
      </c>
      <c r="D42" s="20">
        <v>0.69299999999999995</v>
      </c>
      <c r="E42" s="7">
        <v>-1</v>
      </c>
    </row>
    <row r="43" spans="2:5" x14ac:dyDescent="0.3">
      <c r="B43" s="19">
        <v>45039</v>
      </c>
      <c r="C43" s="18">
        <v>2769</v>
      </c>
      <c r="D43" s="20">
        <v>1.1075999999999999</v>
      </c>
      <c r="E43" s="7">
        <v>0</v>
      </c>
    </row>
    <row r="44" spans="2:5" x14ac:dyDescent="0.3">
      <c r="B44" s="19">
        <v>45041</v>
      </c>
      <c r="C44" s="18">
        <v>1798</v>
      </c>
      <c r="D44" s="20">
        <v>1.798</v>
      </c>
      <c r="E44" s="7">
        <v>0</v>
      </c>
    </row>
    <row r="45" spans="2:5" x14ac:dyDescent="0.3">
      <c r="B45" s="19">
        <v>45042</v>
      </c>
      <c r="C45" s="18">
        <v>1000</v>
      </c>
      <c r="D45" s="20">
        <v>1</v>
      </c>
      <c r="E45" s="7">
        <v>0</v>
      </c>
    </row>
    <row r="46" spans="2:5" x14ac:dyDescent="0.3">
      <c r="B46" s="19">
        <v>45043</v>
      </c>
      <c r="C46" s="18">
        <v>1698</v>
      </c>
      <c r="D46" s="20">
        <v>0.84899999999999998</v>
      </c>
      <c r="E46" s="7">
        <v>0</v>
      </c>
    </row>
    <row r="47" spans="2:5" x14ac:dyDescent="0.3">
      <c r="B47" s="19">
        <v>45045</v>
      </c>
      <c r="C47" s="18">
        <v>6024</v>
      </c>
      <c r="D47" s="20">
        <v>3.012</v>
      </c>
      <c r="E47" s="7">
        <v>1</v>
      </c>
    </row>
    <row r="48" spans="2:5" x14ac:dyDescent="0.3">
      <c r="B48" s="19">
        <v>45047</v>
      </c>
      <c r="C48" s="18">
        <v>2215</v>
      </c>
      <c r="D48" s="20">
        <v>1.1074999999999999</v>
      </c>
      <c r="E48" s="7">
        <v>0</v>
      </c>
    </row>
    <row r="49" spans="2:5" x14ac:dyDescent="0.3">
      <c r="B49" s="19">
        <v>45049</v>
      </c>
      <c r="C49" s="18">
        <v>2871</v>
      </c>
      <c r="D49" s="20">
        <v>2.0293000000000001</v>
      </c>
      <c r="E49" s="7">
        <v>0</v>
      </c>
    </row>
    <row r="50" spans="2:5" x14ac:dyDescent="0.3">
      <c r="B50" s="19">
        <v>45052</v>
      </c>
      <c r="C50" s="18">
        <v>195</v>
      </c>
      <c r="D50" s="20">
        <v>0.19500000000000001</v>
      </c>
      <c r="E50" s="7">
        <v>-1</v>
      </c>
    </row>
    <row r="51" spans="2:5" x14ac:dyDescent="0.3">
      <c r="B51" s="19">
        <v>45053</v>
      </c>
      <c r="C51" s="18">
        <v>5859</v>
      </c>
      <c r="D51" s="20">
        <v>2.9295</v>
      </c>
      <c r="E51" s="7">
        <v>1</v>
      </c>
    </row>
    <row r="52" spans="2:5" x14ac:dyDescent="0.3">
      <c r="B52" s="19">
        <v>45056</v>
      </c>
      <c r="C52" s="18">
        <v>1162</v>
      </c>
      <c r="D52" s="20">
        <v>1.1619999999999999</v>
      </c>
      <c r="E52" s="7">
        <v>0</v>
      </c>
    </row>
    <row r="53" spans="2:5" x14ac:dyDescent="0.3">
      <c r="B53" s="19">
        <v>45057</v>
      </c>
      <c r="C53" s="18">
        <v>825</v>
      </c>
      <c r="D53" s="20">
        <v>0.33</v>
      </c>
      <c r="E53" s="7">
        <v>-1</v>
      </c>
    </row>
    <row r="54" spans="2:5" x14ac:dyDescent="0.3">
      <c r="B54" s="19">
        <v>45067</v>
      </c>
      <c r="C54" s="18">
        <v>834</v>
      </c>
      <c r="D54" s="20">
        <v>0.75649999999999995</v>
      </c>
      <c r="E54" s="7">
        <v>-1</v>
      </c>
    </row>
    <row r="55" spans="2:5" x14ac:dyDescent="0.3">
      <c r="B55" s="19">
        <v>45068</v>
      </c>
      <c r="C55" s="18">
        <v>8780</v>
      </c>
      <c r="D55" s="20">
        <v>4.3899999999999997</v>
      </c>
      <c r="E55" s="7">
        <v>1</v>
      </c>
    </row>
    <row r="56" spans="2:5" x14ac:dyDescent="0.3">
      <c r="B56" s="19">
        <v>45069</v>
      </c>
      <c r="C56" s="18">
        <v>2097</v>
      </c>
      <c r="D56" s="20">
        <v>0.83879999999999999</v>
      </c>
      <c r="E56" s="7">
        <v>0</v>
      </c>
    </row>
    <row r="57" spans="2:5" x14ac:dyDescent="0.3">
      <c r="B57" s="19">
        <v>45070</v>
      </c>
      <c r="C57" s="18">
        <v>8180</v>
      </c>
      <c r="D57" s="20">
        <v>4.09</v>
      </c>
      <c r="E57" s="7">
        <v>1</v>
      </c>
    </row>
    <row r="58" spans="2:5" x14ac:dyDescent="0.3">
      <c r="B58" s="19">
        <v>45072</v>
      </c>
      <c r="C58" s="18">
        <v>8655</v>
      </c>
      <c r="D58" s="20">
        <v>4.3274999999999997</v>
      </c>
      <c r="E58" s="7">
        <v>1</v>
      </c>
    </row>
    <row r="59" spans="2:5" x14ac:dyDescent="0.3">
      <c r="B59" s="19">
        <v>45073</v>
      </c>
      <c r="C59" s="18">
        <v>5044</v>
      </c>
      <c r="D59" s="20">
        <v>2.5219999999999998</v>
      </c>
      <c r="E59" s="7">
        <v>1</v>
      </c>
    </row>
    <row r="60" spans="2:5" x14ac:dyDescent="0.3">
      <c r="B60" s="19">
        <v>45074</v>
      </c>
      <c r="C60" s="18">
        <v>4190</v>
      </c>
      <c r="D60" s="20">
        <v>2.0950000000000002</v>
      </c>
      <c r="E60" s="7">
        <v>1</v>
      </c>
    </row>
    <row r="61" spans="2:5" x14ac:dyDescent="0.3">
      <c r="B61" s="19">
        <v>45076</v>
      </c>
      <c r="C61" s="18">
        <v>337</v>
      </c>
      <c r="D61" s="20">
        <v>0.16850000000000001</v>
      </c>
      <c r="E61" s="7">
        <v>-1</v>
      </c>
    </row>
    <row r="62" spans="2:5" x14ac:dyDescent="0.3">
      <c r="B62" s="19">
        <v>45077</v>
      </c>
      <c r="C62" s="18">
        <v>2056</v>
      </c>
      <c r="D62" s="20">
        <v>1.3707</v>
      </c>
      <c r="E62" s="7">
        <v>0</v>
      </c>
    </row>
    <row r="63" spans="2:5" x14ac:dyDescent="0.3">
      <c r="B63" s="19">
        <v>45080</v>
      </c>
      <c r="C63" s="18">
        <v>3744</v>
      </c>
      <c r="D63" s="20">
        <v>1.4976</v>
      </c>
      <c r="E63" s="7">
        <v>1</v>
      </c>
    </row>
    <row r="64" spans="2:5" x14ac:dyDescent="0.3">
      <c r="B64" s="19">
        <v>45083</v>
      </c>
      <c r="C64" s="18">
        <v>7350</v>
      </c>
      <c r="D64" s="20">
        <v>7.35</v>
      </c>
      <c r="E64" s="7">
        <v>1</v>
      </c>
    </row>
    <row r="65" spans="2:5" x14ac:dyDescent="0.3">
      <c r="B65" s="19">
        <v>45084</v>
      </c>
      <c r="C65" s="18">
        <v>8660</v>
      </c>
      <c r="D65" s="20">
        <v>4.33</v>
      </c>
      <c r="E65" s="7">
        <v>1</v>
      </c>
    </row>
    <row r="66" spans="2:5" x14ac:dyDescent="0.3">
      <c r="B66" s="19">
        <v>45085</v>
      </c>
      <c r="C66" s="18">
        <v>1072</v>
      </c>
      <c r="D66" s="20">
        <v>0.53600000000000003</v>
      </c>
      <c r="E66" s="7">
        <v>0</v>
      </c>
    </row>
    <row r="67" spans="2:5" x14ac:dyDescent="0.3">
      <c r="B67" s="19">
        <v>45087</v>
      </c>
      <c r="C67" s="18">
        <v>7980</v>
      </c>
      <c r="D67" s="20">
        <v>6.51</v>
      </c>
      <c r="E67" s="7">
        <v>1</v>
      </c>
    </row>
    <row r="68" spans="2:5" x14ac:dyDescent="0.3">
      <c r="B68" s="19">
        <v>45089</v>
      </c>
      <c r="C68" s="18">
        <v>6576</v>
      </c>
      <c r="D68" s="20">
        <v>2.6303999999999998</v>
      </c>
      <c r="E68" s="7">
        <v>1</v>
      </c>
    </row>
    <row r="69" spans="2:5" x14ac:dyDescent="0.3">
      <c r="B69" s="19">
        <v>45092</v>
      </c>
      <c r="C69" s="18">
        <v>3800</v>
      </c>
      <c r="D69" s="20">
        <v>3.8</v>
      </c>
      <c r="E69" s="7">
        <v>1</v>
      </c>
    </row>
    <row r="70" spans="2:5" x14ac:dyDescent="0.3">
      <c r="B70" s="19">
        <v>45093</v>
      </c>
      <c r="C70" s="18">
        <v>1797</v>
      </c>
      <c r="D70" s="20">
        <v>1.198</v>
      </c>
      <c r="E70" s="7">
        <v>0</v>
      </c>
    </row>
    <row r="71" spans="2:5" x14ac:dyDescent="0.3">
      <c r="B71" s="19">
        <v>45094</v>
      </c>
      <c r="C71" s="18">
        <v>1953</v>
      </c>
      <c r="D71" s="20">
        <v>1.302</v>
      </c>
      <c r="E71" s="7">
        <v>0</v>
      </c>
    </row>
    <row r="72" spans="2:5" x14ac:dyDescent="0.3">
      <c r="B72" s="19">
        <v>45095</v>
      </c>
      <c r="C72" s="18">
        <v>2721</v>
      </c>
      <c r="D72" s="20">
        <v>2.7210000000000001</v>
      </c>
      <c r="E72" s="7">
        <v>0</v>
      </c>
    </row>
    <row r="73" spans="2:5" x14ac:dyDescent="0.3">
      <c r="B73" s="19">
        <v>45097</v>
      </c>
      <c r="C73" s="18">
        <v>2256</v>
      </c>
      <c r="D73" s="20">
        <v>1.1279999999999999</v>
      </c>
      <c r="E73" s="7">
        <v>0</v>
      </c>
    </row>
    <row r="74" spans="2:5" x14ac:dyDescent="0.3">
      <c r="B74" s="19">
        <v>45099</v>
      </c>
      <c r="C74" s="18">
        <v>5887</v>
      </c>
      <c r="D74" s="20">
        <v>3.9247000000000001</v>
      </c>
      <c r="E74" s="7">
        <v>1</v>
      </c>
    </row>
    <row r="75" spans="2:5" x14ac:dyDescent="0.3">
      <c r="B75" s="19">
        <v>45100</v>
      </c>
      <c r="C75" s="18">
        <v>1158</v>
      </c>
      <c r="D75" s="20">
        <v>1.1579999999999999</v>
      </c>
      <c r="E75" s="7">
        <v>0</v>
      </c>
    </row>
    <row r="76" spans="2:5" x14ac:dyDescent="0.3">
      <c r="B76" s="19">
        <v>45101</v>
      </c>
      <c r="C76" s="18">
        <v>3813</v>
      </c>
      <c r="D76" s="20">
        <v>3.585</v>
      </c>
      <c r="E76" s="7">
        <v>1</v>
      </c>
    </row>
    <row r="77" spans="2:5" x14ac:dyDescent="0.3">
      <c r="B77" s="19">
        <v>45102</v>
      </c>
      <c r="C77" s="18">
        <v>3212</v>
      </c>
      <c r="D77" s="20">
        <v>1.6060000000000001</v>
      </c>
      <c r="E77" s="7">
        <v>1</v>
      </c>
    </row>
    <row r="78" spans="2:5" x14ac:dyDescent="0.3">
      <c r="B78" s="19">
        <v>45103</v>
      </c>
      <c r="C78" s="18">
        <v>7690</v>
      </c>
      <c r="D78" s="20">
        <v>5.2960000000000003</v>
      </c>
      <c r="E78" s="7">
        <v>1</v>
      </c>
    </row>
    <row r="79" spans="2:5" x14ac:dyDescent="0.3">
      <c r="B79" s="19">
        <v>45105</v>
      </c>
      <c r="C79" s="18">
        <v>3087</v>
      </c>
      <c r="D79" s="20">
        <v>1.5435000000000001</v>
      </c>
      <c r="E79" s="7">
        <v>1</v>
      </c>
    </row>
    <row r="80" spans="2:5" x14ac:dyDescent="0.3">
      <c r="B80" s="19">
        <v>45107</v>
      </c>
      <c r="C80" s="18">
        <v>3016</v>
      </c>
      <c r="D80" s="20">
        <v>1.508</v>
      </c>
      <c r="E80" s="7">
        <v>1</v>
      </c>
    </row>
    <row r="81" spans="2:5" x14ac:dyDescent="0.3">
      <c r="B81" s="19">
        <v>45108</v>
      </c>
      <c r="C81" s="18">
        <v>3144</v>
      </c>
      <c r="D81" s="20">
        <v>1.5720000000000001</v>
      </c>
      <c r="E81" s="7">
        <v>1</v>
      </c>
    </row>
    <row r="82" spans="2:5" x14ac:dyDescent="0.3">
      <c r="B82" s="19">
        <v>45112</v>
      </c>
      <c r="C82" s="18">
        <v>964</v>
      </c>
      <c r="D82" s="20">
        <v>0.3856</v>
      </c>
      <c r="E82" s="7">
        <v>-1</v>
      </c>
    </row>
    <row r="83" spans="2:5" x14ac:dyDescent="0.3">
      <c r="B83" s="19">
        <v>45113</v>
      </c>
      <c r="C83" s="18">
        <v>1197</v>
      </c>
      <c r="D83" s="20">
        <v>0.59850000000000003</v>
      </c>
      <c r="E83" s="7">
        <v>0</v>
      </c>
    </row>
    <row r="84" spans="2:5" x14ac:dyDescent="0.3">
      <c r="B84" s="19">
        <v>45117</v>
      </c>
      <c r="C84" s="18">
        <v>2007</v>
      </c>
      <c r="D84" s="20">
        <v>2.0070000000000001</v>
      </c>
      <c r="E84" s="7">
        <v>0</v>
      </c>
    </row>
    <row r="85" spans="2:5" x14ac:dyDescent="0.3">
      <c r="B85" s="19">
        <v>45120</v>
      </c>
      <c r="C85" s="18">
        <v>1330</v>
      </c>
      <c r="D85" s="20">
        <v>0.66500000000000004</v>
      </c>
      <c r="E85" s="7">
        <v>0</v>
      </c>
    </row>
    <row r="86" spans="2:5" x14ac:dyDescent="0.3">
      <c r="B86" s="19">
        <v>45121</v>
      </c>
      <c r="C86" s="18">
        <v>499</v>
      </c>
      <c r="D86" s="20">
        <v>0.2495</v>
      </c>
      <c r="E86" s="7">
        <v>-1</v>
      </c>
    </row>
    <row r="87" spans="2:5" x14ac:dyDescent="0.3">
      <c r="B87" s="19">
        <v>45122</v>
      </c>
      <c r="C87" s="18">
        <v>5790</v>
      </c>
      <c r="D87" s="20">
        <v>2.895</v>
      </c>
      <c r="E87" s="7">
        <v>1</v>
      </c>
    </row>
    <row r="88" spans="2:5" x14ac:dyDescent="0.3">
      <c r="B88" s="19">
        <v>45123</v>
      </c>
      <c r="C88" s="18">
        <v>2852</v>
      </c>
      <c r="D88" s="20">
        <v>1.9013</v>
      </c>
      <c r="E88" s="7">
        <v>0</v>
      </c>
    </row>
    <row r="89" spans="2:5" x14ac:dyDescent="0.3">
      <c r="B89" s="19">
        <v>45128</v>
      </c>
      <c r="C89" s="18">
        <v>6770</v>
      </c>
      <c r="D89" s="20">
        <v>6.77</v>
      </c>
      <c r="E89" s="7">
        <v>1</v>
      </c>
    </row>
    <row r="90" spans="2:5" x14ac:dyDescent="0.3">
      <c r="B90" s="19">
        <v>45130</v>
      </c>
      <c r="C90" s="18">
        <v>708</v>
      </c>
      <c r="D90" s="20">
        <v>0.47199999999999998</v>
      </c>
      <c r="E90" s="7">
        <v>-1</v>
      </c>
    </row>
    <row r="91" spans="2:5" x14ac:dyDescent="0.3">
      <c r="B91" s="19">
        <v>45131</v>
      </c>
      <c r="C91" s="18">
        <v>2310</v>
      </c>
      <c r="D91" s="20">
        <v>2.31</v>
      </c>
      <c r="E91" s="7">
        <v>0</v>
      </c>
    </row>
    <row r="92" spans="2:5" x14ac:dyDescent="0.3">
      <c r="B92" s="19">
        <v>45132</v>
      </c>
      <c r="C92" s="18">
        <v>2235</v>
      </c>
      <c r="D92" s="20">
        <v>1.9567000000000001</v>
      </c>
      <c r="E92" s="7">
        <v>0</v>
      </c>
    </row>
    <row r="93" spans="2:5" x14ac:dyDescent="0.3">
      <c r="B93" s="19">
        <v>45135</v>
      </c>
      <c r="C93" s="18">
        <v>8666</v>
      </c>
      <c r="D93" s="20">
        <v>4.7293000000000003</v>
      </c>
      <c r="E93" s="7">
        <v>1</v>
      </c>
    </row>
    <row r="94" spans="2:5" x14ac:dyDescent="0.3">
      <c r="B94" s="19">
        <v>45137</v>
      </c>
      <c r="C94" s="18">
        <v>3160</v>
      </c>
      <c r="D94" s="20">
        <v>1.264</v>
      </c>
      <c r="E94" s="7">
        <v>1</v>
      </c>
    </row>
    <row r="95" spans="2:5" x14ac:dyDescent="0.3">
      <c r="B95" s="19">
        <v>45138</v>
      </c>
      <c r="C95" s="18">
        <v>5682</v>
      </c>
      <c r="D95" s="20">
        <v>2.2728000000000002</v>
      </c>
      <c r="E95" s="7">
        <v>1</v>
      </c>
    </row>
    <row r="96" spans="2:5" x14ac:dyDescent="0.3">
      <c r="B96" s="19">
        <v>45139</v>
      </c>
      <c r="C96" s="18">
        <v>6570</v>
      </c>
      <c r="D96" s="20">
        <v>3.8717000000000001</v>
      </c>
      <c r="E96" s="7">
        <v>1</v>
      </c>
    </row>
    <row r="97" spans="2:5" x14ac:dyDescent="0.3">
      <c r="B97" s="19">
        <v>45142</v>
      </c>
      <c r="C97" s="18">
        <v>6216</v>
      </c>
      <c r="D97" s="20">
        <v>6.2160000000000002</v>
      </c>
      <c r="E97" s="7">
        <v>1</v>
      </c>
    </row>
    <row r="98" spans="2:5" x14ac:dyDescent="0.3">
      <c r="B98" s="19">
        <v>45143</v>
      </c>
      <c r="C98" s="18">
        <v>1155</v>
      </c>
      <c r="D98" s="20">
        <v>0.46200000000000002</v>
      </c>
      <c r="E98" s="7">
        <v>0</v>
      </c>
    </row>
    <row r="99" spans="2:5" x14ac:dyDescent="0.3">
      <c r="B99" s="19">
        <v>45147</v>
      </c>
      <c r="C99" s="18">
        <v>426</v>
      </c>
      <c r="D99" s="20">
        <v>0.21299999999999999</v>
      </c>
      <c r="E99" s="7">
        <v>-1</v>
      </c>
    </row>
    <row r="100" spans="2:5" x14ac:dyDescent="0.3">
      <c r="B100" s="19">
        <v>45149</v>
      </c>
      <c r="C100" s="18">
        <v>1692</v>
      </c>
      <c r="D100" s="20">
        <v>1.6919999999999999</v>
      </c>
      <c r="E100" s="7">
        <v>0</v>
      </c>
    </row>
    <row r="101" spans="2:5" x14ac:dyDescent="0.3">
      <c r="B101" s="19">
        <v>45151</v>
      </c>
      <c r="C101" s="18">
        <v>1424</v>
      </c>
      <c r="D101" s="20">
        <v>1.4239999999999999</v>
      </c>
      <c r="E101" s="7">
        <v>0</v>
      </c>
    </row>
    <row r="102" spans="2:5" x14ac:dyDescent="0.3">
      <c r="B102" s="19">
        <v>45153</v>
      </c>
      <c r="C102" s="18">
        <v>9340</v>
      </c>
      <c r="D102" s="20">
        <v>3.7360000000000002</v>
      </c>
      <c r="E102" s="7">
        <v>1</v>
      </c>
    </row>
    <row r="103" spans="2:5" x14ac:dyDescent="0.3">
      <c r="B103" s="19">
        <v>45154</v>
      </c>
      <c r="C103" s="18">
        <v>2430</v>
      </c>
      <c r="D103" s="20">
        <v>1.2150000000000001</v>
      </c>
      <c r="E103" s="7">
        <v>0</v>
      </c>
    </row>
    <row r="104" spans="2:5" x14ac:dyDescent="0.3">
      <c r="B104" s="19">
        <v>45158</v>
      </c>
      <c r="C104" s="18">
        <v>2934</v>
      </c>
      <c r="D104" s="20">
        <v>2.9340000000000002</v>
      </c>
      <c r="E104" s="7">
        <v>0</v>
      </c>
    </row>
    <row r="105" spans="2:5" x14ac:dyDescent="0.3">
      <c r="B105" s="19">
        <v>45159</v>
      </c>
      <c r="C105" s="18">
        <v>15915</v>
      </c>
      <c r="D105" s="20">
        <v>6.8388</v>
      </c>
      <c r="E105" s="7">
        <v>1</v>
      </c>
    </row>
    <row r="106" spans="2:5" x14ac:dyDescent="0.3">
      <c r="B106" s="19">
        <v>45162</v>
      </c>
      <c r="C106" s="18">
        <v>2472</v>
      </c>
      <c r="D106" s="20">
        <v>1.6479999999999999</v>
      </c>
      <c r="E106" s="7">
        <v>0</v>
      </c>
    </row>
    <row r="107" spans="2:5" x14ac:dyDescent="0.3">
      <c r="B107" s="19">
        <v>45164</v>
      </c>
      <c r="C107" s="18">
        <v>7240</v>
      </c>
      <c r="D107" s="20">
        <v>2.8959999999999999</v>
      </c>
      <c r="E107" s="7">
        <v>1</v>
      </c>
    </row>
    <row r="108" spans="2:5" x14ac:dyDescent="0.3">
      <c r="B108" s="19">
        <v>45165</v>
      </c>
      <c r="C108" s="18">
        <v>3965</v>
      </c>
      <c r="D108" s="20">
        <v>2.6433</v>
      </c>
      <c r="E108" s="7">
        <v>1</v>
      </c>
    </row>
    <row r="109" spans="2:5" x14ac:dyDescent="0.3">
      <c r="B109" s="19">
        <v>45166</v>
      </c>
      <c r="C109" s="18">
        <v>789</v>
      </c>
      <c r="D109" s="20">
        <v>0.78900000000000003</v>
      </c>
      <c r="E109" s="7">
        <v>-1</v>
      </c>
    </row>
    <row r="110" spans="2:5" x14ac:dyDescent="0.3">
      <c r="B110" s="19">
        <v>45169</v>
      </c>
      <c r="C110" s="18">
        <v>5787</v>
      </c>
      <c r="D110" s="20">
        <v>2.8935</v>
      </c>
      <c r="E110" s="7">
        <v>1</v>
      </c>
    </row>
    <row r="111" spans="2:5" x14ac:dyDescent="0.3">
      <c r="B111" s="19">
        <v>45170</v>
      </c>
      <c r="C111" s="18">
        <v>2920</v>
      </c>
      <c r="D111" s="20">
        <v>1.9467000000000001</v>
      </c>
      <c r="E111" s="7">
        <v>0</v>
      </c>
    </row>
    <row r="112" spans="2:5" x14ac:dyDescent="0.3">
      <c r="B112" s="19">
        <v>45176</v>
      </c>
      <c r="C112" s="18">
        <v>1516</v>
      </c>
      <c r="D112" s="20">
        <v>0.60640000000000005</v>
      </c>
      <c r="E112" s="7">
        <v>0</v>
      </c>
    </row>
    <row r="113" spans="2:5" x14ac:dyDescent="0.3">
      <c r="B113" s="19">
        <v>45178</v>
      </c>
      <c r="C113" s="18">
        <v>1400</v>
      </c>
      <c r="D113" s="20">
        <v>1.4</v>
      </c>
      <c r="E113" s="7">
        <v>0</v>
      </c>
    </row>
    <row r="114" spans="2:5" x14ac:dyDescent="0.3">
      <c r="B114" s="19">
        <v>45179</v>
      </c>
      <c r="C114" s="18">
        <v>398</v>
      </c>
      <c r="D114" s="20">
        <v>0.26529999999999998</v>
      </c>
      <c r="E114" s="7">
        <v>-1</v>
      </c>
    </row>
    <row r="115" spans="2:5" x14ac:dyDescent="0.3">
      <c r="B115" s="19">
        <v>45180</v>
      </c>
      <c r="C115" s="18">
        <v>2672</v>
      </c>
      <c r="D115" s="20">
        <v>1.7432000000000001</v>
      </c>
      <c r="E115" s="7">
        <v>0</v>
      </c>
    </row>
    <row r="116" spans="2:5" x14ac:dyDescent="0.3">
      <c r="B116" s="19">
        <v>45186</v>
      </c>
      <c r="C116" s="18">
        <v>3157</v>
      </c>
      <c r="D116" s="20">
        <v>1.5785</v>
      </c>
      <c r="E116" s="7">
        <v>1</v>
      </c>
    </row>
    <row r="117" spans="2:5" x14ac:dyDescent="0.3">
      <c r="B117" s="19">
        <v>45194</v>
      </c>
      <c r="C117" s="18">
        <v>3927</v>
      </c>
      <c r="D117" s="20">
        <v>1.5708</v>
      </c>
      <c r="E117" s="7">
        <v>1</v>
      </c>
    </row>
    <row r="118" spans="2:5" x14ac:dyDescent="0.3">
      <c r="B118" s="19">
        <v>45196</v>
      </c>
      <c r="C118" s="18">
        <v>920</v>
      </c>
      <c r="D118" s="20">
        <v>0.61329999999999996</v>
      </c>
      <c r="E118" s="7">
        <v>-1</v>
      </c>
    </row>
    <row r="119" spans="2:5" x14ac:dyDescent="0.3">
      <c r="B119" s="19">
        <v>45198</v>
      </c>
      <c r="C119" s="18">
        <v>8164</v>
      </c>
      <c r="D119" s="20">
        <v>5.4427000000000003</v>
      </c>
      <c r="E119" s="7">
        <v>1</v>
      </c>
    </row>
    <row r="120" spans="2:5" x14ac:dyDescent="0.3">
      <c r="B120" s="19">
        <v>45199</v>
      </c>
      <c r="C120" s="18">
        <v>5439</v>
      </c>
      <c r="D120" s="20">
        <v>2.7195</v>
      </c>
      <c r="E120" s="7">
        <v>1</v>
      </c>
    </row>
    <row r="121" spans="2:5" x14ac:dyDescent="0.3">
      <c r="B121" s="19">
        <v>45200</v>
      </c>
      <c r="C121" s="18">
        <v>1068</v>
      </c>
      <c r="D121" s="20">
        <v>0.42720000000000002</v>
      </c>
      <c r="E121" s="7">
        <v>0</v>
      </c>
    </row>
    <row r="122" spans="2:5" x14ac:dyDescent="0.3">
      <c r="B122" s="19">
        <v>45203</v>
      </c>
      <c r="C122" s="18">
        <v>4585</v>
      </c>
      <c r="D122" s="20">
        <v>3.0567000000000002</v>
      </c>
      <c r="E122" s="7">
        <v>1</v>
      </c>
    </row>
    <row r="123" spans="2:5" x14ac:dyDescent="0.3">
      <c r="B123" s="19">
        <v>45206</v>
      </c>
      <c r="C123" s="18">
        <v>954</v>
      </c>
      <c r="D123" s="20">
        <v>0.47699999999999998</v>
      </c>
      <c r="E123" s="7">
        <v>-1</v>
      </c>
    </row>
    <row r="124" spans="2:5" x14ac:dyDescent="0.3">
      <c r="B124" s="19">
        <v>45208</v>
      </c>
      <c r="C124" s="18">
        <v>2597</v>
      </c>
      <c r="D124" s="20">
        <v>1.22</v>
      </c>
      <c r="E124" s="7">
        <v>0</v>
      </c>
    </row>
    <row r="125" spans="2:5" x14ac:dyDescent="0.3">
      <c r="B125" s="19">
        <v>45209</v>
      </c>
      <c r="C125" s="18">
        <v>6603</v>
      </c>
      <c r="D125" s="20">
        <v>6.1479999999999997</v>
      </c>
      <c r="E125" s="7">
        <v>1</v>
      </c>
    </row>
    <row r="126" spans="2:5" x14ac:dyDescent="0.3">
      <c r="B126" s="19">
        <v>45210</v>
      </c>
      <c r="C126" s="18">
        <v>888</v>
      </c>
      <c r="D126" s="20">
        <v>0.35520000000000002</v>
      </c>
      <c r="E126" s="7">
        <v>-1</v>
      </c>
    </row>
    <row r="127" spans="2:5" x14ac:dyDescent="0.3">
      <c r="B127" s="19">
        <v>45212</v>
      </c>
      <c r="C127" s="18">
        <v>1152</v>
      </c>
      <c r="D127" s="20">
        <v>0.46079999999999999</v>
      </c>
      <c r="E127" s="7">
        <v>0</v>
      </c>
    </row>
    <row r="128" spans="2:5" x14ac:dyDescent="0.3">
      <c r="B128" s="19">
        <v>45214</v>
      </c>
      <c r="C128" s="18">
        <v>3332</v>
      </c>
      <c r="D128" s="20">
        <v>1.3328</v>
      </c>
      <c r="E128" s="7">
        <v>1</v>
      </c>
    </row>
    <row r="129" spans="2:5" x14ac:dyDescent="0.3">
      <c r="B129" s="19">
        <v>45215</v>
      </c>
      <c r="C129" s="18">
        <v>2304</v>
      </c>
      <c r="D129" s="20">
        <v>1.1519999999999999</v>
      </c>
      <c r="E129" s="7">
        <v>0</v>
      </c>
    </row>
    <row r="130" spans="2:5" x14ac:dyDescent="0.3">
      <c r="B130" s="19">
        <v>45216</v>
      </c>
      <c r="C130" s="18">
        <v>680</v>
      </c>
      <c r="D130" s="20">
        <v>0.45329999999999998</v>
      </c>
      <c r="E130" s="7">
        <v>-1</v>
      </c>
    </row>
    <row r="131" spans="2:5" x14ac:dyDescent="0.3">
      <c r="B131" s="19">
        <v>45218</v>
      </c>
      <c r="C131" s="18">
        <v>2768</v>
      </c>
      <c r="D131" s="20">
        <v>2.7679999999999998</v>
      </c>
      <c r="E131" s="7">
        <v>0</v>
      </c>
    </row>
    <row r="132" spans="2:5" x14ac:dyDescent="0.3">
      <c r="B132" s="19">
        <v>45219</v>
      </c>
      <c r="C132" s="18">
        <v>4128</v>
      </c>
      <c r="D132" s="20">
        <v>2.0640000000000001</v>
      </c>
      <c r="E132" s="7">
        <v>1</v>
      </c>
    </row>
    <row r="133" spans="2:5" x14ac:dyDescent="0.3">
      <c r="B133" s="19">
        <v>45224</v>
      </c>
      <c r="C133" s="18">
        <v>695</v>
      </c>
      <c r="D133" s="20">
        <v>0.69499999999999995</v>
      </c>
      <c r="E133" s="7">
        <v>-1</v>
      </c>
    </row>
    <row r="134" spans="2:5" x14ac:dyDescent="0.3">
      <c r="B134" s="19">
        <v>45226</v>
      </c>
      <c r="C134" s="18">
        <v>4912</v>
      </c>
      <c r="D134" s="20">
        <v>3.2747000000000002</v>
      </c>
      <c r="E134" s="7">
        <v>1</v>
      </c>
    </row>
    <row r="135" spans="2:5" x14ac:dyDescent="0.3">
      <c r="B135" s="19">
        <v>45227</v>
      </c>
      <c r="C135" s="18">
        <v>11520</v>
      </c>
      <c r="D135" s="20">
        <v>4.6079999999999997</v>
      </c>
      <c r="E135" s="7">
        <v>1</v>
      </c>
    </row>
    <row r="136" spans="2:5" x14ac:dyDescent="0.3">
      <c r="B136" s="19">
        <v>45228</v>
      </c>
      <c r="C136" s="18">
        <v>428</v>
      </c>
      <c r="D136" s="20">
        <v>0.42799999999999999</v>
      </c>
      <c r="E136" s="7">
        <v>-1</v>
      </c>
    </row>
    <row r="137" spans="2:5" x14ac:dyDescent="0.3">
      <c r="B137" s="19">
        <v>45233</v>
      </c>
      <c r="C137" s="18">
        <v>3600</v>
      </c>
      <c r="D137" s="20">
        <v>3.6</v>
      </c>
      <c r="E137" s="7">
        <v>1</v>
      </c>
    </row>
    <row r="138" spans="2:5" x14ac:dyDescent="0.3">
      <c r="B138" s="19">
        <v>45236</v>
      </c>
      <c r="C138" s="18">
        <v>630</v>
      </c>
      <c r="D138" s="20">
        <v>0.63</v>
      </c>
      <c r="E138" s="7">
        <v>-1</v>
      </c>
    </row>
    <row r="139" spans="2:5" x14ac:dyDescent="0.3">
      <c r="B139" s="19">
        <v>45239</v>
      </c>
      <c r="C139" s="18">
        <v>9322</v>
      </c>
      <c r="D139" s="20">
        <v>6.9301000000000004</v>
      </c>
      <c r="E139" s="7">
        <v>1</v>
      </c>
    </row>
    <row r="140" spans="2:5" x14ac:dyDescent="0.3">
      <c r="B140" s="19">
        <v>45242</v>
      </c>
      <c r="C140" s="18">
        <v>12117</v>
      </c>
      <c r="D140" s="20">
        <v>4.8468</v>
      </c>
      <c r="E140" s="7">
        <v>1</v>
      </c>
    </row>
    <row r="141" spans="2:5" x14ac:dyDescent="0.3">
      <c r="B141" s="19">
        <v>45244</v>
      </c>
      <c r="C141" s="18">
        <v>4996</v>
      </c>
      <c r="D141" s="20">
        <v>3.3307000000000002</v>
      </c>
      <c r="E141" s="7">
        <v>1</v>
      </c>
    </row>
    <row r="142" spans="2:5" x14ac:dyDescent="0.3">
      <c r="B142" s="19">
        <v>45245</v>
      </c>
      <c r="C142" s="18">
        <v>5920</v>
      </c>
      <c r="D142" s="20">
        <v>2.3679999999999999</v>
      </c>
      <c r="E142" s="7">
        <v>1</v>
      </c>
    </row>
    <row r="143" spans="2:5" x14ac:dyDescent="0.3">
      <c r="B143" s="19">
        <v>45247</v>
      </c>
      <c r="C143" s="18">
        <v>9468</v>
      </c>
      <c r="D143" s="20">
        <v>8.5535999999999994</v>
      </c>
      <c r="E143" s="7">
        <v>1</v>
      </c>
    </row>
    <row r="144" spans="2:5" x14ac:dyDescent="0.3">
      <c r="B144" s="19">
        <v>45249</v>
      </c>
      <c r="C144" s="18">
        <v>9180</v>
      </c>
      <c r="D144" s="20">
        <v>6.12</v>
      </c>
      <c r="E144" s="7">
        <v>1</v>
      </c>
    </row>
    <row r="145" spans="2:5" x14ac:dyDescent="0.3">
      <c r="B145" s="19">
        <v>45250</v>
      </c>
      <c r="C145" s="18">
        <v>1660</v>
      </c>
      <c r="D145" s="20">
        <v>1.66</v>
      </c>
      <c r="E145" s="7">
        <v>0</v>
      </c>
    </row>
    <row r="146" spans="2:5" x14ac:dyDescent="0.3">
      <c r="B146" s="19">
        <v>45252</v>
      </c>
      <c r="C146" s="18">
        <v>6592</v>
      </c>
      <c r="D146" s="20">
        <v>4.3947000000000003</v>
      </c>
      <c r="E146" s="7">
        <v>1</v>
      </c>
    </row>
    <row r="147" spans="2:5" x14ac:dyDescent="0.3">
      <c r="B147" s="19">
        <v>45255</v>
      </c>
      <c r="C147" s="18">
        <v>1210</v>
      </c>
      <c r="D147" s="20">
        <v>1.21</v>
      </c>
      <c r="E147" s="7">
        <v>0</v>
      </c>
    </row>
    <row r="148" spans="2:5" x14ac:dyDescent="0.3">
      <c r="B148" s="19">
        <v>45256</v>
      </c>
      <c r="C148" s="18">
        <v>162</v>
      </c>
      <c r="D148" s="20">
        <v>6.4799999999999996E-2</v>
      </c>
      <c r="E148" s="7">
        <v>-1</v>
      </c>
    </row>
    <row r="149" spans="2:5" x14ac:dyDescent="0.3">
      <c r="B149" s="19">
        <v>45258</v>
      </c>
      <c r="C149" s="18">
        <v>2946</v>
      </c>
      <c r="D149" s="20">
        <v>1.659</v>
      </c>
      <c r="E149" s="7">
        <v>0</v>
      </c>
    </row>
    <row r="150" spans="2:5" x14ac:dyDescent="0.3">
      <c r="B150" s="19">
        <v>45259</v>
      </c>
      <c r="C150" s="18">
        <v>3477</v>
      </c>
      <c r="D150" s="20">
        <v>1.994</v>
      </c>
      <c r="E150" s="7">
        <v>1</v>
      </c>
    </row>
    <row r="151" spans="2:5" x14ac:dyDescent="0.3">
      <c r="B151" s="19">
        <v>45262</v>
      </c>
      <c r="C151" s="18">
        <v>7542</v>
      </c>
      <c r="D151" s="20">
        <v>5.0279999999999996</v>
      </c>
      <c r="E151" s="7">
        <v>1</v>
      </c>
    </row>
    <row r="152" spans="2:5" x14ac:dyDescent="0.3">
      <c r="B152" s="19">
        <v>45263</v>
      </c>
      <c r="C152" s="18">
        <v>11937</v>
      </c>
      <c r="D152" s="20">
        <v>5.4527999999999999</v>
      </c>
      <c r="E152" s="7">
        <v>1</v>
      </c>
    </row>
    <row r="153" spans="2:5" x14ac:dyDescent="0.3">
      <c r="B153" s="19">
        <v>45268</v>
      </c>
      <c r="C153" s="18">
        <v>3654</v>
      </c>
      <c r="D153" s="20">
        <v>3.6539999999999999</v>
      </c>
      <c r="E153" s="7">
        <v>1</v>
      </c>
    </row>
    <row r="154" spans="2:5" x14ac:dyDescent="0.3">
      <c r="B154" s="19">
        <v>45270</v>
      </c>
      <c r="C154" s="18">
        <v>1040</v>
      </c>
      <c r="D154" s="20">
        <v>0.52</v>
      </c>
      <c r="E154" s="7">
        <v>0</v>
      </c>
    </row>
    <row r="155" spans="2:5" x14ac:dyDescent="0.3">
      <c r="B155" s="19">
        <v>45271</v>
      </c>
      <c r="C155" s="18">
        <v>3450</v>
      </c>
      <c r="D155" s="20">
        <v>3.45</v>
      </c>
      <c r="E155" s="7">
        <v>1</v>
      </c>
    </row>
    <row r="156" spans="2:5" x14ac:dyDescent="0.3">
      <c r="B156" s="19">
        <v>45272</v>
      </c>
      <c r="C156" s="18">
        <v>2492</v>
      </c>
      <c r="D156" s="20">
        <v>0.99680000000000002</v>
      </c>
      <c r="E156" s="7">
        <v>0</v>
      </c>
    </row>
    <row r="157" spans="2:5" x14ac:dyDescent="0.3">
      <c r="B157" s="19">
        <v>45274</v>
      </c>
      <c r="C157" s="18">
        <v>3951</v>
      </c>
      <c r="D157" s="20">
        <v>3.9510000000000001</v>
      </c>
      <c r="E157" s="7">
        <v>1</v>
      </c>
    </row>
    <row r="158" spans="2:5" x14ac:dyDescent="0.3">
      <c r="B158" s="19">
        <v>45276</v>
      </c>
      <c r="C158" s="18">
        <v>7812</v>
      </c>
      <c r="D158" s="20">
        <v>3.9060000000000001</v>
      </c>
      <c r="E158" s="7">
        <v>1</v>
      </c>
    </row>
    <row r="159" spans="2:5" x14ac:dyDescent="0.3">
      <c r="B159" s="19">
        <v>45277</v>
      </c>
      <c r="C159" s="18">
        <v>15018</v>
      </c>
      <c r="D159" s="20">
        <v>15.018000000000001</v>
      </c>
      <c r="E159" s="7">
        <v>1</v>
      </c>
    </row>
    <row r="160" spans="2:5" x14ac:dyDescent="0.3">
      <c r="B160" s="19">
        <v>45279</v>
      </c>
      <c r="C160" s="18">
        <v>4080</v>
      </c>
      <c r="D160" s="20">
        <v>1.6319999999999999</v>
      </c>
      <c r="E160" s="7">
        <v>1</v>
      </c>
    </row>
    <row r="161" spans="2:5" x14ac:dyDescent="0.3">
      <c r="B161" s="19">
        <v>45280</v>
      </c>
      <c r="C161" s="18">
        <v>6088</v>
      </c>
      <c r="D161" s="20">
        <v>2.4352</v>
      </c>
      <c r="E161" s="7">
        <v>1</v>
      </c>
    </row>
    <row r="162" spans="2:5" x14ac:dyDescent="0.3">
      <c r="B162" s="19">
        <v>45283</v>
      </c>
      <c r="C162" s="18">
        <v>6993</v>
      </c>
      <c r="D162" s="20">
        <v>2.7972000000000001</v>
      </c>
      <c r="E162" s="7">
        <v>1</v>
      </c>
    </row>
    <row r="163" spans="2:5" x14ac:dyDescent="0.3">
      <c r="B163" s="19">
        <v>45284</v>
      </c>
      <c r="C163" s="18">
        <v>2740</v>
      </c>
      <c r="D163" s="20">
        <v>1.0960000000000001</v>
      </c>
      <c r="E163" s="7">
        <v>0</v>
      </c>
    </row>
    <row r="164" spans="2:5" x14ac:dyDescent="0.3">
      <c r="B164" s="19">
        <v>45286</v>
      </c>
      <c r="C164" s="18">
        <v>982</v>
      </c>
      <c r="D164" s="20">
        <v>0.98199999999999998</v>
      </c>
      <c r="E164" s="7">
        <v>-1</v>
      </c>
    </row>
    <row r="165" spans="2:5" x14ac:dyDescent="0.3">
      <c r="B165" s="19">
        <v>45287</v>
      </c>
      <c r="C165" s="18">
        <v>292</v>
      </c>
      <c r="D165" s="20">
        <v>0.19470000000000001</v>
      </c>
      <c r="E165" s="7">
        <v>-1</v>
      </c>
    </row>
    <row r="166" spans="2:5" x14ac:dyDescent="0.3">
      <c r="B166" s="19">
        <v>45292</v>
      </c>
      <c r="C166" s="18">
        <v>2540</v>
      </c>
      <c r="D166" s="20">
        <v>1.27</v>
      </c>
      <c r="E166" s="7">
        <v>0</v>
      </c>
    </row>
    <row r="167" spans="2:5" x14ac:dyDescent="0.3">
      <c r="B167" s="17" t="s">
        <v>54</v>
      </c>
      <c r="C167" s="18">
        <v>605539</v>
      </c>
      <c r="D167" s="20">
        <v>370.04419999999999</v>
      </c>
      <c r="E167" s="7">
        <v>1</v>
      </c>
    </row>
  </sheetData>
  <conditionalFormatting pivot="1" sqref="E4:E167">
    <cfRule type="iconSet" priority="1">
      <iconSet iconSet="3Symbols" showValue="0">
        <cfvo type="num" val="-1"/>
        <cfvo type="num" val="-0.5"/>
        <cfvo type="num" val="0.5"/>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6BCEC-22C5-4B6D-9058-223F42A2D8E2}">
  <dimension ref="B3:N8"/>
  <sheetViews>
    <sheetView topLeftCell="B1" zoomScale="67" workbookViewId="0">
      <selection activeCell="B3" sqref="B3"/>
    </sheetView>
  </sheetViews>
  <sheetFormatPr defaultRowHeight="14.4" x14ac:dyDescent="0.3"/>
  <cols>
    <col min="2" max="2" width="15.33203125" bestFit="1" customWidth="1"/>
    <col min="3" max="3" width="18.109375" bestFit="1" customWidth="1"/>
    <col min="14" max="14" width="15.44140625" bestFit="1" customWidth="1"/>
  </cols>
  <sheetData>
    <row r="3" spans="2:14" x14ac:dyDescent="0.3">
      <c r="B3" s="16" t="s">
        <v>58</v>
      </c>
      <c r="C3" t="s">
        <v>60</v>
      </c>
    </row>
    <row r="4" spans="2:14" x14ac:dyDescent="0.3">
      <c r="B4" s="17" t="s">
        <v>10</v>
      </c>
      <c r="C4" s="18">
        <v>44341</v>
      </c>
      <c r="N4" t="s">
        <v>62</v>
      </c>
    </row>
    <row r="5" spans="2:14" x14ac:dyDescent="0.3">
      <c r="B5" s="17" t="s">
        <v>20</v>
      </c>
      <c r="C5" s="18">
        <v>27884</v>
      </c>
    </row>
    <row r="6" spans="2:14" x14ac:dyDescent="0.3">
      <c r="B6" s="17" t="s">
        <v>26</v>
      </c>
      <c r="C6" s="18">
        <v>53193</v>
      </c>
    </row>
    <row r="7" spans="2:14" x14ac:dyDescent="0.3">
      <c r="B7" s="17" t="s">
        <v>15</v>
      </c>
      <c r="C7" s="18">
        <v>20764</v>
      </c>
      <c r="N7" t="s">
        <v>61</v>
      </c>
    </row>
    <row r="8" spans="2:14" x14ac:dyDescent="0.3">
      <c r="B8" s="17" t="s">
        <v>54</v>
      </c>
      <c r="C8" s="18">
        <v>146182</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9F77AFCD-3E5D-40F5-8F55-5EC0820C9BCC}">
          <x14:colorSeries rgb="FF376092"/>
          <x14:colorNegative rgb="FFD00000"/>
          <x14:colorAxis rgb="FF000000"/>
          <x14:colorMarkers rgb="FFD00000"/>
          <x14:colorFirst rgb="FFD00000"/>
          <x14:colorLast rgb="FFD00000"/>
          <x14:colorHigh rgb="FFD00000"/>
          <x14:colorLow rgb="FFD00000"/>
          <x14:sparklines>
            <x14:sparkline>
              <xm:f>Dashboard!C4:C7</xm:f>
              <xm:sqref>O7</xm:sqref>
            </x14:sparkline>
          </x14:sparklines>
        </x14:sparklineGroup>
        <x14:sparklineGroup displayEmptyCellsAs="gap" xr2:uid="{687B7CDC-A13C-417E-99CA-0E5797D16888}">
          <x14:colorSeries rgb="FF376092"/>
          <x14:colorNegative rgb="FFD00000"/>
          <x14:colorAxis rgb="FF000000"/>
          <x14:colorMarkers rgb="FFD00000"/>
          <x14:colorFirst rgb="FFD00000"/>
          <x14:colorLast rgb="FFD00000"/>
          <x14:colorHigh rgb="FFD00000"/>
          <x14:colorLow rgb="FFD00000"/>
          <x14:sparklines>
            <x14:sparkline>
              <xm:f>Dashboard!C4:C7</xm:f>
              <xm:sqref>O4</xm:sqref>
            </x14:sparkline>
          </x14:sparklines>
        </x14:sparklineGroup>
      </x14:sparklineGroup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5206-A4B4-4F8C-A675-34A79C39E863}">
  <dimension ref="B3:C5"/>
  <sheetViews>
    <sheetView workbookViewId="0">
      <selection activeCell="G26" sqref="G26"/>
    </sheetView>
  </sheetViews>
  <sheetFormatPr defaultRowHeight="14.4" x14ac:dyDescent="0.3"/>
  <cols>
    <col min="2" max="2" width="12.5546875" bestFit="1" customWidth="1"/>
    <col min="3" max="3" width="13.109375" bestFit="1" customWidth="1"/>
  </cols>
  <sheetData>
    <row r="3" spans="2:3" x14ac:dyDescent="0.3">
      <c r="B3" s="16" t="s">
        <v>53</v>
      </c>
      <c r="C3" t="s">
        <v>60</v>
      </c>
    </row>
    <row r="4" spans="2:3" x14ac:dyDescent="0.3">
      <c r="B4" s="17">
        <v>2023</v>
      </c>
      <c r="C4" s="18">
        <v>146182</v>
      </c>
    </row>
    <row r="5" spans="2:3" x14ac:dyDescent="0.3">
      <c r="B5" s="17" t="s">
        <v>54</v>
      </c>
      <c r="C5" s="18">
        <v>146182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68F31-784F-46CA-A162-43155C3AA78B}">
  <dimension ref="B3:C8"/>
  <sheetViews>
    <sheetView workbookViewId="0">
      <selection activeCell="P10" sqref="P10"/>
    </sheetView>
  </sheetViews>
  <sheetFormatPr defaultRowHeight="14.4" x14ac:dyDescent="0.3"/>
  <cols>
    <col min="2" max="2" width="12.5546875" bestFit="1" customWidth="1"/>
    <col min="3" max="3" width="10.5546875" bestFit="1" customWidth="1"/>
  </cols>
  <sheetData>
    <row r="3" spans="2:3" x14ac:dyDescent="0.3">
      <c r="B3" s="16" t="s">
        <v>53</v>
      </c>
      <c r="C3" t="s">
        <v>59</v>
      </c>
    </row>
    <row r="4" spans="2:3" x14ac:dyDescent="0.3">
      <c r="B4" s="17" t="s">
        <v>10</v>
      </c>
      <c r="C4" s="18">
        <v>7981.38</v>
      </c>
    </row>
    <row r="5" spans="2:3" x14ac:dyDescent="0.3">
      <c r="B5" s="17" t="s">
        <v>20</v>
      </c>
      <c r="C5" s="18">
        <v>5019.12</v>
      </c>
    </row>
    <row r="6" spans="2:3" x14ac:dyDescent="0.3">
      <c r="B6" s="17" t="s">
        <v>26</v>
      </c>
      <c r="C6" s="18">
        <v>9574.74</v>
      </c>
    </row>
    <row r="7" spans="2:3" x14ac:dyDescent="0.3">
      <c r="B7" s="17" t="s">
        <v>15</v>
      </c>
      <c r="C7" s="18">
        <v>3737.52</v>
      </c>
    </row>
    <row r="8" spans="2:3" x14ac:dyDescent="0.3">
      <c r="B8" s="17" t="s">
        <v>54</v>
      </c>
      <c r="C8" s="18">
        <v>26312.76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50A84-4F11-4CDE-B948-BC5C5A2E81F9}">
  <dimension ref="B3:C8"/>
  <sheetViews>
    <sheetView topLeftCell="A2" workbookViewId="0">
      <selection activeCell="E23" sqref="E23"/>
    </sheetView>
  </sheetViews>
  <sheetFormatPr defaultRowHeight="14.4" x14ac:dyDescent="0.3"/>
  <cols>
    <col min="2" max="2" width="10.77734375" bestFit="1" customWidth="1"/>
    <col min="3" max="3" width="12.109375" bestFit="1" customWidth="1"/>
  </cols>
  <sheetData>
    <row r="3" spans="2:3" x14ac:dyDescent="0.3">
      <c r="B3" s="16" t="s">
        <v>58</v>
      </c>
      <c r="C3" t="s">
        <v>55</v>
      </c>
    </row>
    <row r="4" spans="2:3" x14ac:dyDescent="0.3">
      <c r="B4" s="17" t="s">
        <v>10</v>
      </c>
      <c r="C4" s="18">
        <v>44341</v>
      </c>
    </row>
    <row r="5" spans="2:3" x14ac:dyDescent="0.3">
      <c r="B5" s="17" t="s">
        <v>20</v>
      </c>
      <c r="C5" s="18">
        <v>27884</v>
      </c>
    </row>
    <row r="6" spans="2:3" x14ac:dyDescent="0.3">
      <c r="B6" s="17" t="s">
        <v>26</v>
      </c>
      <c r="C6" s="18">
        <v>53193</v>
      </c>
    </row>
    <row r="7" spans="2:3" x14ac:dyDescent="0.3">
      <c r="B7" s="17" t="s">
        <v>15</v>
      </c>
      <c r="C7" s="18">
        <v>20764</v>
      </c>
    </row>
    <row r="8" spans="2:3" x14ac:dyDescent="0.3">
      <c r="B8" s="17" t="s">
        <v>54</v>
      </c>
      <c r="C8" s="18">
        <v>146182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6BB4A-CBF9-452F-A493-56B4F0341052}">
  <dimension ref="B4:C6"/>
  <sheetViews>
    <sheetView workbookViewId="0">
      <selection activeCell="B14" sqref="B14"/>
    </sheetView>
  </sheetViews>
  <sheetFormatPr defaultRowHeight="14.4" x14ac:dyDescent="0.3"/>
  <cols>
    <col min="2" max="2" width="12.5546875" bestFit="1" customWidth="1"/>
    <col min="3" max="3" width="12.109375" bestFit="1" customWidth="1"/>
    <col min="4" max="4" width="15.6640625" bestFit="1" customWidth="1"/>
    <col min="5" max="5" width="12.109375" bestFit="1" customWidth="1"/>
    <col min="6" max="6" width="16.6640625" bestFit="1" customWidth="1"/>
    <col min="7" max="16" width="15.5546875" bestFit="1" customWidth="1"/>
    <col min="17" max="17" width="10.77734375" bestFit="1" customWidth="1"/>
    <col min="18" max="31" width="15.6640625" bestFit="1" customWidth="1"/>
    <col min="32" max="32" width="16.44140625" bestFit="1" customWidth="1"/>
    <col min="33" max="34" width="20.44140625" bestFit="1" customWidth="1"/>
  </cols>
  <sheetData>
    <row r="4" spans="2:3" x14ac:dyDescent="0.3">
      <c r="B4" s="16" t="s">
        <v>53</v>
      </c>
      <c r="C4" t="s">
        <v>55</v>
      </c>
    </row>
    <row r="5" spans="2:3" x14ac:dyDescent="0.3">
      <c r="B5" s="17" t="s">
        <v>57</v>
      </c>
      <c r="C5" s="18">
        <v>146182</v>
      </c>
    </row>
    <row r="6" spans="2:3" x14ac:dyDescent="0.3">
      <c r="B6" s="17" t="s">
        <v>54</v>
      </c>
      <c r="C6" s="18">
        <v>146182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23D3B-5385-4BD8-973D-1942B2CA832D}">
  <dimension ref="B3:D18"/>
  <sheetViews>
    <sheetView zoomScale="76" workbookViewId="0">
      <selection activeCell="AC17" sqref="AC17"/>
    </sheetView>
  </sheetViews>
  <sheetFormatPr defaultRowHeight="14.4" x14ac:dyDescent="0.3"/>
  <cols>
    <col min="2" max="2" width="11.21875" bestFit="1" customWidth="1"/>
    <col min="3" max="3" width="13.5546875" bestFit="1" customWidth="1"/>
    <col min="4" max="4" width="10.77734375" bestFit="1" customWidth="1"/>
  </cols>
  <sheetData>
    <row r="3" spans="2:4" x14ac:dyDescent="0.3">
      <c r="B3" s="16" t="s">
        <v>3</v>
      </c>
      <c r="C3" t="s">
        <v>60</v>
      </c>
      <c r="D3" t="s">
        <v>59</v>
      </c>
    </row>
    <row r="4" spans="2:4" x14ac:dyDescent="0.3">
      <c r="B4" s="17" t="s">
        <v>31</v>
      </c>
      <c r="C4" s="18">
        <v>24540</v>
      </c>
      <c r="D4" s="18">
        <v>4417.2</v>
      </c>
    </row>
    <row r="5" spans="2:4" x14ac:dyDescent="0.3">
      <c r="B5" s="17" t="s">
        <v>42</v>
      </c>
      <c r="C5" s="18">
        <v>7075</v>
      </c>
      <c r="D5" s="18">
        <v>1273.5</v>
      </c>
    </row>
    <row r="6" spans="2:4" x14ac:dyDescent="0.3">
      <c r="B6" s="17" t="s">
        <v>17</v>
      </c>
      <c r="C6" s="18">
        <v>18388</v>
      </c>
      <c r="D6" s="18">
        <v>3309.84</v>
      </c>
    </row>
    <row r="7" spans="2:4" x14ac:dyDescent="0.3">
      <c r="B7" s="17" t="s">
        <v>33</v>
      </c>
      <c r="C7" s="18">
        <v>12398</v>
      </c>
      <c r="D7" s="18">
        <v>2231.64</v>
      </c>
    </row>
    <row r="8" spans="2:4" x14ac:dyDescent="0.3">
      <c r="B8" s="17" t="s">
        <v>40</v>
      </c>
      <c r="C8" s="18">
        <v>2372</v>
      </c>
      <c r="D8" s="18">
        <v>426.96</v>
      </c>
    </row>
    <row r="9" spans="2:4" x14ac:dyDescent="0.3">
      <c r="B9" s="17" t="s">
        <v>43</v>
      </c>
      <c r="C9" s="18">
        <v>23197</v>
      </c>
      <c r="D9" s="18">
        <v>4175.46</v>
      </c>
    </row>
    <row r="10" spans="2:4" x14ac:dyDescent="0.3">
      <c r="B10" s="17" t="s">
        <v>46</v>
      </c>
      <c r="C10" s="18">
        <v>9901</v>
      </c>
      <c r="D10" s="18">
        <v>1782.18</v>
      </c>
    </row>
    <row r="11" spans="2:4" x14ac:dyDescent="0.3">
      <c r="B11" s="17" t="s">
        <v>12</v>
      </c>
      <c r="C11" s="18">
        <v>8294</v>
      </c>
      <c r="D11" s="18">
        <v>1492.92</v>
      </c>
    </row>
    <row r="12" spans="2:4" x14ac:dyDescent="0.3">
      <c r="B12" s="17" t="s">
        <v>41</v>
      </c>
      <c r="C12" s="18">
        <v>11047</v>
      </c>
      <c r="D12" s="18">
        <v>1988.46</v>
      </c>
    </row>
    <row r="13" spans="2:4" x14ac:dyDescent="0.3">
      <c r="B13" s="17" t="s">
        <v>28</v>
      </c>
      <c r="C13" s="18">
        <v>8029</v>
      </c>
      <c r="D13" s="18">
        <v>1445.22</v>
      </c>
    </row>
    <row r="14" spans="2:4" x14ac:dyDescent="0.3">
      <c r="B14" s="17" t="s">
        <v>36</v>
      </c>
      <c r="C14" s="18">
        <v>5039</v>
      </c>
      <c r="D14" s="18">
        <v>907.02</v>
      </c>
    </row>
    <row r="15" spans="2:4" x14ac:dyDescent="0.3">
      <c r="B15" s="17" t="s">
        <v>38</v>
      </c>
      <c r="C15" s="18">
        <v>4836</v>
      </c>
      <c r="D15" s="18">
        <v>870.48</v>
      </c>
    </row>
    <row r="16" spans="2:4" x14ac:dyDescent="0.3">
      <c r="B16" s="17" t="s">
        <v>49</v>
      </c>
      <c r="C16" s="18">
        <v>7655</v>
      </c>
      <c r="D16" s="18">
        <v>1377.9</v>
      </c>
    </row>
    <row r="17" spans="2:4" x14ac:dyDescent="0.3">
      <c r="B17" s="17" t="s">
        <v>22</v>
      </c>
      <c r="C17" s="18">
        <v>3411</v>
      </c>
      <c r="D17" s="18">
        <v>613.98</v>
      </c>
    </row>
    <row r="18" spans="2:4" x14ac:dyDescent="0.3">
      <c r="B18" s="17" t="s">
        <v>54</v>
      </c>
      <c r="C18" s="18">
        <v>146182</v>
      </c>
      <c r="D18" s="18">
        <v>26312.76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F7560-D860-40E7-93D6-2EE7D1125E82}">
  <dimension ref="B3:C9"/>
  <sheetViews>
    <sheetView workbookViewId="0">
      <selection activeCell="L5" sqref="L5"/>
    </sheetView>
  </sheetViews>
  <sheetFormatPr defaultRowHeight="14.4" x14ac:dyDescent="0.3"/>
  <cols>
    <col min="2" max="2" width="10.77734375" bestFit="1" customWidth="1"/>
    <col min="3" max="3" width="12.109375" bestFit="1" customWidth="1"/>
  </cols>
  <sheetData>
    <row r="3" spans="2:3" x14ac:dyDescent="0.3">
      <c r="B3" s="16" t="s">
        <v>2</v>
      </c>
      <c r="C3" t="s">
        <v>55</v>
      </c>
    </row>
    <row r="4" spans="2:3" x14ac:dyDescent="0.3">
      <c r="B4" s="17" t="s">
        <v>16</v>
      </c>
      <c r="C4" s="18">
        <v>46624</v>
      </c>
    </row>
    <row r="5" spans="2:3" x14ac:dyDescent="0.3">
      <c r="B5" s="17" t="s">
        <v>27</v>
      </c>
      <c r="C5" s="18">
        <v>22766</v>
      </c>
    </row>
    <row r="6" spans="2:3" x14ac:dyDescent="0.3">
      <c r="B6" s="17" t="s">
        <v>11</v>
      </c>
      <c r="C6" s="18">
        <v>18321</v>
      </c>
    </row>
    <row r="7" spans="2:3" x14ac:dyDescent="0.3">
      <c r="B7" s="17" t="s">
        <v>30</v>
      </c>
      <c r="C7" s="18">
        <v>47985</v>
      </c>
    </row>
    <row r="8" spans="2:3" x14ac:dyDescent="0.3">
      <c r="B8" s="17" t="s">
        <v>21</v>
      </c>
      <c r="C8" s="18">
        <v>10486</v>
      </c>
    </row>
    <row r="9" spans="2:3" x14ac:dyDescent="0.3">
      <c r="B9" s="17" t="s">
        <v>54</v>
      </c>
      <c r="C9" s="18">
        <v>146182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70FF-CD80-4132-B8CD-FE637AC11ABF}">
  <dimension ref="B3:D8"/>
  <sheetViews>
    <sheetView workbookViewId="0">
      <selection activeCell="Q4" sqref="Q4"/>
    </sheetView>
  </sheetViews>
  <sheetFormatPr defaultRowHeight="14.4" x14ac:dyDescent="0.3"/>
  <cols>
    <col min="2" max="2" width="10.77734375" bestFit="1" customWidth="1"/>
    <col min="3" max="3" width="13.109375" bestFit="1" customWidth="1"/>
    <col min="4" max="4" width="10.5546875" bestFit="1" customWidth="1"/>
  </cols>
  <sheetData>
    <row r="3" spans="2:4" x14ac:dyDescent="0.3">
      <c r="B3" s="16" t="s">
        <v>1</v>
      </c>
      <c r="C3" t="s">
        <v>60</v>
      </c>
      <c r="D3" t="s">
        <v>59</v>
      </c>
    </row>
    <row r="4" spans="2:4" x14ac:dyDescent="0.3">
      <c r="B4" s="17" t="s">
        <v>10</v>
      </c>
      <c r="C4" s="18">
        <v>44341</v>
      </c>
      <c r="D4" s="18">
        <v>7981.38</v>
      </c>
    </row>
    <row r="5" spans="2:4" x14ac:dyDescent="0.3">
      <c r="B5" s="17" t="s">
        <v>20</v>
      </c>
      <c r="C5" s="18">
        <v>27884</v>
      </c>
      <c r="D5" s="18">
        <v>5019.12</v>
      </c>
    </row>
    <row r="6" spans="2:4" x14ac:dyDescent="0.3">
      <c r="B6" s="17" t="s">
        <v>26</v>
      </c>
      <c r="C6" s="18">
        <v>53193</v>
      </c>
      <c r="D6" s="18">
        <v>9574.74</v>
      </c>
    </row>
    <row r="7" spans="2:4" x14ac:dyDescent="0.3">
      <c r="B7" s="17" t="s">
        <v>15</v>
      </c>
      <c r="C7" s="18">
        <v>20764</v>
      </c>
      <c r="D7" s="18">
        <v>3737.52</v>
      </c>
    </row>
    <row r="8" spans="2:4" x14ac:dyDescent="0.3">
      <c r="B8" s="17" t="s">
        <v>54</v>
      </c>
      <c r="C8" s="18">
        <v>146182</v>
      </c>
      <c r="D8" s="18">
        <v>26312.76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C9F36-A38C-480F-9D5F-398E295CAA33}">
  <dimension ref="A1:O201"/>
  <sheetViews>
    <sheetView workbookViewId="0">
      <selection activeCell="G1" sqref="G1:G21"/>
    </sheetView>
  </sheetViews>
  <sheetFormatPr defaultRowHeight="14.4" x14ac:dyDescent="0.3"/>
  <cols>
    <col min="1" max="1" width="10.44140625" customWidth="1"/>
    <col min="2" max="2" width="8.6640625" customWidth="1"/>
    <col min="3" max="3" width="11.109375" customWidth="1"/>
    <col min="4" max="4" width="10.44140625" customWidth="1"/>
    <col min="5" max="5" width="11.109375" bestFit="1" customWidth="1"/>
    <col min="6" max="6" width="10.33203125" bestFit="1" customWidth="1"/>
    <col min="7" max="7" width="10.21875" customWidth="1"/>
    <col min="8" max="8" width="11" customWidth="1"/>
    <col min="9" max="9" width="7.109375" customWidth="1"/>
    <col min="10" max="10" width="8.21875" customWidth="1"/>
    <col min="11" max="11" width="9.77734375" customWidth="1"/>
    <col min="12" max="12" width="9.33203125" customWidth="1"/>
    <col min="13" max="13" width="13.44140625" bestFit="1" customWidth="1"/>
    <col min="14" max="14" width="6.109375" bestFit="1" customWidth="1"/>
    <col min="15" max="15" width="8.88671875" bestFit="1" customWidth="1"/>
    <col min="16" max="16" width="9.88671875" bestFit="1" customWidth="1"/>
    <col min="17" max="17" width="11.109375" bestFit="1" customWidth="1"/>
    <col min="18" max="18" width="10.33203125" bestFit="1" customWidth="1"/>
  </cols>
  <sheetData>
    <row r="1" spans="1:15" x14ac:dyDescent="0.3">
      <c r="A1" t="s">
        <v>0</v>
      </c>
      <c r="B1" t="s">
        <v>1</v>
      </c>
      <c r="C1" t="s">
        <v>2</v>
      </c>
      <c r="D1" t="s">
        <v>3</v>
      </c>
      <c r="E1" t="s">
        <v>4</v>
      </c>
      <c r="F1" t="s">
        <v>51</v>
      </c>
      <c r="G1" t="s">
        <v>52</v>
      </c>
      <c r="H1" t="s">
        <v>5</v>
      </c>
      <c r="I1" t="s">
        <v>6</v>
      </c>
      <c r="J1" t="s">
        <v>7</v>
      </c>
      <c r="K1" t="s">
        <v>8</v>
      </c>
      <c r="L1" t="s">
        <v>9</v>
      </c>
      <c r="M1" t="s">
        <v>65</v>
      </c>
      <c r="O1" t="s">
        <v>66</v>
      </c>
    </row>
    <row r="2" spans="1:15" x14ac:dyDescent="0.3">
      <c r="A2">
        <v>1</v>
      </c>
      <c r="B2" s="1" t="s">
        <v>10</v>
      </c>
      <c r="C2" s="1" t="s">
        <v>11</v>
      </c>
      <c r="D2" s="1" t="s">
        <v>12</v>
      </c>
      <c r="E2" s="8">
        <v>45052</v>
      </c>
      <c r="F2" s="1">
        <v>4</v>
      </c>
      <c r="G2" s="1">
        <v>242</v>
      </c>
      <c r="H2">
        <f>F2*G2</f>
        <v>968</v>
      </c>
      <c r="I2" s="1">
        <v>1000</v>
      </c>
      <c r="J2" s="1">
        <v>2023</v>
      </c>
      <c r="K2" s="1" t="s">
        <v>13</v>
      </c>
      <c r="L2" s="2" t="s">
        <v>14</v>
      </c>
      <c r="M2" s="21"/>
    </row>
    <row r="3" spans="1:15" x14ac:dyDescent="0.3">
      <c r="A3">
        <v>2</v>
      </c>
      <c r="B3" s="3" t="s">
        <v>15</v>
      </c>
      <c r="C3" s="3" t="s">
        <v>16</v>
      </c>
      <c r="D3" s="3" t="s">
        <v>17</v>
      </c>
      <c r="E3" s="9">
        <v>44943</v>
      </c>
      <c r="F3" s="3">
        <v>1</v>
      </c>
      <c r="G3" s="3">
        <v>195</v>
      </c>
      <c r="H3">
        <f t="shared" ref="H3:H66" si="0">F3*G3</f>
        <v>195</v>
      </c>
      <c r="I3" s="3">
        <v>1500</v>
      </c>
      <c r="J3" s="3">
        <v>2023</v>
      </c>
      <c r="K3" s="3" t="s">
        <v>18</v>
      </c>
      <c r="L3" s="4" t="s">
        <v>19</v>
      </c>
      <c r="M3" s="3"/>
    </row>
    <row r="4" spans="1:15" x14ac:dyDescent="0.3">
      <c r="A4" s="7">
        <v>3</v>
      </c>
      <c r="B4" s="1" t="s">
        <v>20</v>
      </c>
      <c r="C4" s="1" t="s">
        <v>21</v>
      </c>
      <c r="D4" s="1" t="s">
        <v>22</v>
      </c>
      <c r="E4" s="8">
        <v>45214</v>
      </c>
      <c r="F4" s="1">
        <v>4</v>
      </c>
      <c r="G4" s="1">
        <v>833</v>
      </c>
      <c r="H4">
        <f t="shared" si="0"/>
        <v>3332</v>
      </c>
      <c r="I4" s="1">
        <v>2500</v>
      </c>
      <c r="J4" s="1">
        <v>2023</v>
      </c>
      <c r="K4" s="1" t="s">
        <v>23</v>
      </c>
      <c r="L4" s="2" t="s">
        <v>24</v>
      </c>
      <c r="M4" s="3"/>
    </row>
    <row r="5" spans="1:15" x14ac:dyDescent="0.3">
      <c r="A5" s="7">
        <v>4</v>
      </c>
      <c r="B5" s="3" t="s">
        <v>10</v>
      </c>
      <c r="C5" s="3" t="s">
        <v>21</v>
      </c>
      <c r="D5" s="3" t="s">
        <v>25</v>
      </c>
      <c r="E5" s="9">
        <v>44930</v>
      </c>
      <c r="F5" s="3">
        <v>3</v>
      </c>
      <c r="G5" s="3">
        <v>814</v>
      </c>
      <c r="H5">
        <f t="shared" si="0"/>
        <v>2442</v>
      </c>
      <c r="I5" s="3">
        <v>2500</v>
      </c>
      <c r="J5" s="3">
        <v>2023</v>
      </c>
      <c r="K5" s="3" t="s">
        <v>18</v>
      </c>
      <c r="L5" s="4" t="s">
        <v>19</v>
      </c>
      <c r="M5" s="3"/>
    </row>
    <row r="6" spans="1:15" x14ac:dyDescent="0.3">
      <c r="A6" s="7">
        <v>5</v>
      </c>
      <c r="B6" s="1" t="s">
        <v>26</v>
      </c>
      <c r="C6" s="1" t="s">
        <v>27</v>
      </c>
      <c r="D6" s="1" t="s">
        <v>28</v>
      </c>
      <c r="E6" s="8">
        <v>45037</v>
      </c>
      <c r="F6" s="1">
        <v>6</v>
      </c>
      <c r="G6" s="1">
        <v>204</v>
      </c>
      <c r="H6">
        <f t="shared" si="0"/>
        <v>1224</v>
      </c>
      <c r="I6" s="1">
        <v>1000</v>
      </c>
      <c r="J6" s="1">
        <v>2023</v>
      </c>
      <c r="K6" s="1" t="s">
        <v>13</v>
      </c>
      <c r="L6" s="2" t="s">
        <v>29</v>
      </c>
      <c r="M6" s="3"/>
    </row>
    <row r="7" spans="1:15" x14ac:dyDescent="0.3">
      <c r="A7" s="7">
        <v>6</v>
      </c>
      <c r="B7" s="3" t="s">
        <v>10</v>
      </c>
      <c r="C7" s="3" t="s">
        <v>30</v>
      </c>
      <c r="D7" s="3" t="s">
        <v>31</v>
      </c>
      <c r="E7" s="9">
        <v>45103</v>
      </c>
      <c r="F7" s="3">
        <v>10</v>
      </c>
      <c r="G7" s="3">
        <v>370</v>
      </c>
      <c r="H7">
        <f t="shared" si="0"/>
        <v>3700</v>
      </c>
      <c r="I7" s="3">
        <v>1000</v>
      </c>
      <c r="J7" s="3">
        <v>2023</v>
      </c>
      <c r="K7" s="3" t="s">
        <v>13</v>
      </c>
      <c r="L7" s="4" t="s">
        <v>32</v>
      </c>
      <c r="M7" s="3"/>
    </row>
    <row r="8" spans="1:15" x14ac:dyDescent="0.3">
      <c r="A8" s="7">
        <v>7</v>
      </c>
      <c r="B8" s="1" t="s">
        <v>20</v>
      </c>
      <c r="C8" s="1" t="s">
        <v>30</v>
      </c>
      <c r="D8" s="1" t="s">
        <v>33</v>
      </c>
      <c r="E8" s="8">
        <v>45120</v>
      </c>
      <c r="F8" s="1">
        <v>2</v>
      </c>
      <c r="G8" s="1">
        <v>665</v>
      </c>
      <c r="H8">
        <f t="shared" si="0"/>
        <v>1330</v>
      </c>
      <c r="I8" s="1">
        <v>2000</v>
      </c>
      <c r="J8" s="1">
        <v>2023</v>
      </c>
      <c r="K8" s="1" t="s">
        <v>34</v>
      </c>
      <c r="L8" s="2" t="s">
        <v>35</v>
      </c>
      <c r="M8" s="3"/>
    </row>
    <row r="9" spans="1:15" x14ac:dyDescent="0.3">
      <c r="A9" s="7">
        <v>8</v>
      </c>
      <c r="B9" s="3" t="s">
        <v>26</v>
      </c>
      <c r="C9" s="3" t="s">
        <v>16</v>
      </c>
      <c r="D9" s="3" t="s">
        <v>36</v>
      </c>
      <c r="E9" s="9">
        <v>45287</v>
      </c>
      <c r="F9" s="3">
        <v>2</v>
      </c>
      <c r="G9" s="3">
        <v>146</v>
      </c>
      <c r="H9">
        <f t="shared" si="0"/>
        <v>292</v>
      </c>
      <c r="I9" s="3">
        <v>1500</v>
      </c>
      <c r="J9" s="3">
        <v>2023</v>
      </c>
      <c r="K9" s="3" t="s">
        <v>23</v>
      </c>
      <c r="L9" s="4" t="s">
        <v>37</v>
      </c>
      <c r="M9" s="3"/>
    </row>
    <row r="10" spans="1:15" x14ac:dyDescent="0.3">
      <c r="A10" s="7">
        <v>9</v>
      </c>
      <c r="B10" s="1" t="s">
        <v>26</v>
      </c>
      <c r="C10" s="1" t="s">
        <v>27</v>
      </c>
      <c r="D10" s="1" t="s">
        <v>38</v>
      </c>
      <c r="E10" s="8">
        <v>44978</v>
      </c>
      <c r="F10" s="1">
        <v>7</v>
      </c>
      <c r="G10" s="1">
        <v>384</v>
      </c>
      <c r="H10">
        <f t="shared" si="0"/>
        <v>2688</v>
      </c>
      <c r="I10" s="1">
        <v>2500</v>
      </c>
      <c r="J10" s="1">
        <v>2023</v>
      </c>
      <c r="K10" s="1" t="s">
        <v>18</v>
      </c>
      <c r="L10" s="2" t="s">
        <v>39</v>
      </c>
      <c r="M10" s="3"/>
    </row>
    <row r="11" spans="1:15" x14ac:dyDescent="0.3">
      <c r="A11" s="7">
        <v>10</v>
      </c>
      <c r="B11" s="3" t="s">
        <v>10</v>
      </c>
      <c r="C11" s="3" t="s">
        <v>27</v>
      </c>
      <c r="D11" s="3" t="s">
        <v>38</v>
      </c>
      <c r="E11" s="9">
        <v>45108</v>
      </c>
      <c r="F11" s="3">
        <v>4</v>
      </c>
      <c r="G11" s="3">
        <v>786</v>
      </c>
      <c r="H11">
        <f t="shared" si="0"/>
        <v>3144</v>
      </c>
      <c r="I11" s="3">
        <v>2000</v>
      </c>
      <c r="J11" s="3">
        <v>2023</v>
      </c>
      <c r="K11" s="3" t="s">
        <v>34</v>
      </c>
      <c r="L11" s="4" t="s">
        <v>35</v>
      </c>
      <c r="M11" s="3"/>
    </row>
    <row r="12" spans="1:15" x14ac:dyDescent="0.3">
      <c r="A12" s="7">
        <v>11</v>
      </c>
      <c r="B12" s="1" t="s">
        <v>26</v>
      </c>
      <c r="C12" s="1" t="s">
        <v>11</v>
      </c>
      <c r="D12" s="1" t="s">
        <v>40</v>
      </c>
      <c r="E12" s="8">
        <v>45200</v>
      </c>
      <c r="F12" s="1">
        <v>4</v>
      </c>
      <c r="G12" s="1">
        <v>267</v>
      </c>
      <c r="H12">
        <f t="shared" si="0"/>
        <v>1068</v>
      </c>
      <c r="I12" s="1">
        <v>2500</v>
      </c>
      <c r="J12" s="1">
        <v>2023</v>
      </c>
      <c r="K12" s="1" t="s">
        <v>23</v>
      </c>
      <c r="L12" s="2" t="s">
        <v>24</v>
      </c>
      <c r="M12" s="3"/>
    </row>
    <row r="13" spans="1:15" x14ac:dyDescent="0.3">
      <c r="A13" s="7">
        <v>12</v>
      </c>
      <c r="B13" s="3" t="s">
        <v>26</v>
      </c>
      <c r="C13" s="3" t="s">
        <v>30</v>
      </c>
      <c r="D13" s="3" t="s">
        <v>41</v>
      </c>
      <c r="E13" s="9">
        <v>45277</v>
      </c>
      <c r="F13" s="3">
        <v>6</v>
      </c>
      <c r="G13" s="3">
        <v>963</v>
      </c>
      <c r="H13">
        <f t="shared" si="0"/>
        <v>5778</v>
      </c>
      <c r="I13" s="3">
        <v>1000</v>
      </c>
      <c r="J13" s="3">
        <v>2023</v>
      </c>
      <c r="K13" s="3" t="s">
        <v>23</v>
      </c>
      <c r="L13" s="4" t="s">
        <v>37</v>
      </c>
      <c r="M13" s="3"/>
    </row>
    <row r="14" spans="1:15" x14ac:dyDescent="0.3">
      <c r="A14" s="7">
        <v>13</v>
      </c>
      <c r="B14" s="1" t="s">
        <v>10</v>
      </c>
      <c r="C14" s="1" t="s">
        <v>21</v>
      </c>
      <c r="D14" s="1" t="s">
        <v>42</v>
      </c>
      <c r="E14" s="8">
        <v>45132</v>
      </c>
      <c r="F14" s="1">
        <v>5</v>
      </c>
      <c r="G14" s="1">
        <v>167</v>
      </c>
      <c r="H14">
        <f t="shared" si="0"/>
        <v>835</v>
      </c>
      <c r="I14" s="1">
        <v>1500</v>
      </c>
      <c r="J14" s="1">
        <v>2023</v>
      </c>
      <c r="K14" s="1" t="s">
        <v>34</v>
      </c>
      <c r="L14" s="2" t="s">
        <v>35</v>
      </c>
      <c r="M14" s="3"/>
    </row>
    <row r="15" spans="1:15" x14ac:dyDescent="0.3">
      <c r="A15" s="7">
        <v>14</v>
      </c>
      <c r="B15" s="3" t="s">
        <v>10</v>
      </c>
      <c r="C15" s="3" t="s">
        <v>16</v>
      </c>
      <c r="D15" s="3" t="s">
        <v>43</v>
      </c>
      <c r="E15" s="9">
        <v>45035</v>
      </c>
      <c r="F15" s="3">
        <v>8</v>
      </c>
      <c r="G15" s="3">
        <v>505</v>
      </c>
      <c r="H15">
        <f t="shared" si="0"/>
        <v>4040</v>
      </c>
      <c r="I15" s="3">
        <v>2500</v>
      </c>
      <c r="J15" s="3">
        <v>2023</v>
      </c>
      <c r="K15" s="3" t="s">
        <v>13</v>
      </c>
      <c r="L15" s="4" t="s">
        <v>29</v>
      </c>
      <c r="M15" s="3"/>
    </row>
    <row r="16" spans="1:15" x14ac:dyDescent="0.3">
      <c r="A16" s="7">
        <v>15</v>
      </c>
      <c r="B16" s="1" t="s">
        <v>26</v>
      </c>
      <c r="C16" s="1" t="s">
        <v>21</v>
      </c>
      <c r="D16" s="1" t="s">
        <v>25</v>
      </c>
      <c r="E16" s="8">
        <v>45053</v>
      </c>
      <c r="F16" s="1">
        <v>9</v>
      </c>
      <c r="G16" s="1">
        <v>651</v>
      </c>
      <c r="H16">
        <f t="shared" si="0"/>
        <v>5859</v>
      </c>
      <c r="I16" s="1">
        <v>2000</v>
      </c>
      <c r="J16" s="1">
        <v>2023</v>
      </c>
      <c r="K16" s="1" t="s">
        <v>13</v>
      </c>
      <c r="L16" s="2" t="s">
        <v>14</v>
      </c>
      <c r="M16" s="3"/>
    </row>
    <row r="17" spans="1:13" x14ac:dyDescent="0.3">
      <c r="A17" s="7">
        <v>16</v>
      </c>
      <c r="B17" s="3" t="s">
        <v>15</v>
      </c>
      <c r="C17" s="3" t="s">
        <v>16</v>
      </c>
      <c r="D17" s="3" t="s">
        <v>36</v>
      </c>
      <c r="E17" s="9">
        <v>45112</v>
      </c>
      <c r="F17" s="3">
        <v>4</v>
      </c>
      <c r="G17" s="3">
        <v>241</v>
      </c>
      <c r="H17">
        <f t="shared" si="0"/>
        <v>964</v>
      </c>
      <c r="I17" s="3">
        <v>2500</v>
      </c>
      <c r="J17" s="3">
        <v>2023</v>
      </c>
      <c r="K17" s="3" t="s">
        <v>34</v>
      </c>
      <c r="L17" s="4" t="s">
        <v>35</v>
      </c>
      <c r="M17" s="3"/>
    </row>
    <row r="18" spans="1:13" x14ac:dyDescent="0.3">
      <c r="A18" s="7">
        <v>17</v>
      </c>
      <c r="B18" s="1" t="s">
        <v>20</v>
      </c>
      <c r="C18" s="1" t="s">
        <v>11</v>
      </c>
      <c r="D18" s="1" t="s">
        <v>12</v>
      </c>
      <c r="E18" s="8">
        <v>45005</v>
      </c>
      <c r="F18" s="1">
        <v>3</v>
      </c>
      <c r="G18" s="1">
        <v>911</v>
      </c>
      <c r="H18">
        <f t="shared" si="0"/>
        <v>2733</v>
      </c>
      <c r="I18" s="1">
        <v>2500</v>
      </c>
      <c r="J18" s="1">
        <v>2023</v>
      </c>
      <c r="K18" s="1" t="s">
        <v>18</v>
      </c>
      <c r="L18" s="2" t="s">
        <v>44</v>
      </c>
      <c r="M18" s="3"/>
    </row>
    <row r="19" spans="1:13" x14ac:dyDescent="0.3">
      <c r="A19" s="7">
        <v>18</v>
      </c>
      <c r="B19" s="3" t="s">
        <v>15</v>
      </c>
      <c r="C19" s="3" t="s">
        <v>16</v>
      </c>
      <c r="D19" s="3" t="s">
        <v>17</v>
      </c>
      <c r="E19" s="9">
        <v>45122</v>
      </c>
      <c r="F19" s="3">
        <v>10</v>
      </c>
      <c r="G19" s="3">
        <v>579</v>
      </c>
      <c r="H19">
        <f t="shared" si="0"/>
        <v>5790</v>
      </c>
      <c r="I19" s="3">
        <v>2000</v>
      </c>
      <c r="J19" s="3">
        <v>2023</v>
      </c>
      <c r="K19" s="3" t="s">
        <v>34</v>
      </c>
      <c r="L19" s="4" t="s">
        <v>35</v>
      </c>
      <c r="M19" s="3"/>
    </row>
    <row r="20" spans="1:13" x14ac:dyDescent="0.3">
      <c r="A20" s="7">
        <v>19</v>
      </c>
      <c r="B20" s="1" t="s">
        <v>20</v>
      </c>
      <c r="C20" s="1" t="s">
        <v>16</v>
      </c>
      <c r="D20" s="1" t="s">
        <v>17</v>
      </c>
      <c r="E20" s="8">
        <v>45276</v>
      </c>
      <c r="F20" s="1">
        <v>9</v>
      </c>
      <c r="G20" s="1">
        <v>868</v>
      </c>
      <c r="H20">
        <f t="shared" si="0"/>
        <v>7812</v>
      </c>
      <c r="I20" s="1">
        <v>2000</v>
      </c>
      <c r="J20" s="1">
        <v>2023</v>
      </c>
      <c r="K20" s="1" t="s">
        <v>23</v>
      </c>
      <c r="L20" s="2" t="s">
        <v>37</v>
      </c>
      <c r="M20" s="3"/>
    </row>
    <row r="21" spans="1:13" x14ac:dyDescent="0.3">
      <c r="A21" s="7">
        <v>20</v>
      </c>
      <c r="B21" s="3" t="s">
        <v>10</v>
      </c>
      <c r="C21" s="3" t="s">
        <v>27</v>
      </c>
      <c r="D21" s="3" t="s">
        <v>38</v>
      </c>
      <c r="E21" s="9">
        <v>45149</v>
      </c>
      <c r="F21" s="3">
        <v>3</v>
      </c>
      <c r="G21" s="3">
        <v>564</v>
      </c>
      <c r="H21">
        <f t="shared" si="0"/>
        <v>1692</v>
      </c>
      <c r="I21" s="3">
        <v>1000</v>
      </c>
      <c r="J21" s="3">
        <v>2023</v>
      </c>
      <c r="K21" s="3" t="s">
        <v>34</v>
      </c>
      <c r="L21" s="4" t="s">
        <v>45</v>
      </c>
      <c r="M21" s="3"/>
    </row>
    <row r="22" spans="1:13" x14ac:dyDescent="0.3">
      <c r="A22" s="7">
        <v>21</v>
      </c>
      <c r="B22" s="1" t="s">
        <v>26</v>
      </c>
      <c r="C22" s="1" t="s">
        <v>27</v>
      </c>
      <c r="D22" s="1" t="s">
        <v>46</v>
      </c>
      <c r="E22" s="8">
        <v>45186</v>
      </c>
      <c r="F22" s="1">
        <v>2</v>
      </c>
      <c r="G22" s="1">
        <v>991</v>
      </c>
      <c r="H22">
        <f t="shared" si="0"/>
        <v>1982</v>
      </c>
      <c r="I22" s="1">
        <v>2000</v>
      </c>
      <c r="J22" s="1">
        <v>2023</v>
      </c>
      <c r="K22" s="1" t="s">
        <v>34</v>
      </c>
      <c r="L22" s="2" t="s">
        <v>47</v>
      </c>
      <c r="M22" s="3"/>
    </row>
    <row r="23" spans="1:13" x14ac:dyDescent="0.3">
      <c r="A23" s="7">
        <v>22</v>
      </c>
      <c r="B23" s="3" t="s">
        <v>26</v>
      </c>
      <c r="C23" s="3" t="s">
        <v>16</v>
      </c>
      <c r="D23" s="3" t="s">
        <v>43</v>
      </c>
      <c r="E23" s="9">
        <v>45005</v>
      </c>
      <c r="F23" s="3">
        <v>6</v>
      </c>
      <c r="G23" s="3">
        <v>880</v>
      </c>
      <c r="H23">
        <f t="shared" si="0"/>
        <v>5280</v>
      </c>
      <c r="I23" s="3">
        <v>1500</v>
      </c>
      <c r="J23" s="3">
        <v>2023</v>
      </c>
      <c r="K23" s="3" t="s">
        <v>18</v>
      </c>
      <c r="L23" s="4" t="s">
        <v>44</v>
      </c>
      <c r="M23" s="3"/>
    </row>
    <row r="24" spans="1:13" x14ac:dyDescent="0.3">
      <c r="A24" s="7">
        <v>23</v>
      </c>
      <c r="B24" s="1" t="s">
        <v>20</v>
      </c>
      <c r="C24" s="1" t="s">
        <v>16</v>
      </c>
      <c r="D24" s="1" t="s">
        <v>43</v>
      </c>
      <c r="E24" s="8">
        <v>45233</v>
      </c>
      <c r="F24" s="1">
        <v>6</v>
      </c>
      <c r="G24" s="1">
        <v>600</v>
      </c>
      <c r="H24">
        <f t="shared" si="0"/>
        <v>3600</v>
      </c>
      <c r="I24" s="1">
        <v>1000</v>
      </c>
      <c r="J24" s="1">
        <v>2023</v>
      </c>
      <c r="K24" s="1" t="s">
        <v>23</v>
      </c>
      <c r="L24" s="2" t="s">
        <v>48</v>
      </c>
      <c r="M24" s="3"/>
    </row>
    <row r="25" spans="1:13" x14ac:dyDescent="0.3">
      <c r="A25" s="7">
        <v>24</v>
      </c>
      <c r="B25" s="3" t="s">
        <v>10</v>
      </c>
      <c r="C25" s="3" t="s">
        <v>11</v>
      </c>
      <c r="D25" s="3" t="s">
        <v>49</v>
      </c>
      <c r="E25" s="9">
        <v>45049</v>
      </c>
      <c r="F25" s="3">
        <v>1</v>
      </c>
      <c r="G25" s="3">
        <v>346</v>
      </c>
      <c r="H25">
        <f t="shared" si="0"/>
        <v>346</v>
      </c>
      <c r="I25" s="3">
        <v>1000</v>
      </c>
      <c r="J25" s="3">
        <v>2023</v>
      </c>
      <c r="K25" s="3" t="s">
        <v>13</v>
      </c>
      <c r="L25" s="4" t="s">
        <v>14</v>
      </c>
      <c r="M25" s="3"/>
    </row>
    <row r="26" spans="1:13" x14ac:dyDescent="0.3">
      <c r="A26" s="7">
        <v>25</v>
      </c>
      <c r="B26" s="1" t="s">
        <v>15</v>
      </c>
      <c r="C26" s="1" t="s">
        <v>11</v>
      </c>
      <c r="D26" s="1" t="s">
        <v>40</v>
      </c>
      <c r="E26" s="8">
        <v>44962</v>
      </c>
      <c r="F26" s="1">
        <v>9</v>
      </c>
      <c r="G26" s="1">
        <v>884</v>
      </c>
      <c r="H26">
        <f t="shared" si="0"/>
        <v>7956</v>
      </c>
      <c r="I26" s="1">
        <v>1500</v>
      </c>
      <c r="J26" s="1">
        <v>2023</v>
      </c>
      <c r="K26" s="1" t="s">
        <v>18</v>
      </c>
      <c r="L26" s="2" t="s">
        <v>39</v>
      </c>
      <c r="M26" s="3"/>
    </row>
    <row r="27" spans="1:13" x14ac:dyDescent="0.3">
      <c r="A27" s="7">
        <v>26</v>
      </c>
      <c r="B27" s="3" t="s">
        <v>15</v>
      </c>
      <c r="C27" s="3" t="s">
        <v>21</v>
      </c>
      <c r="D27" s="3" t="s">
        <v>22</v>
      </c>
      <c r="E27" s="9">
        <v>45208</v>
      </c>
      <c r="F27" s="3">
        <v>3</v>
      </c>
      <c r="G27" s="3">
        <v>371</v>
      </c>
      <c r="H27">
        <f t="shared" si="0"/>
        <v>1113</v>
      </c>
      <c r="I27" s="3">
        <v>2500</v>
      </c>
      <c r="J27" s="3">
        <v>2023</v>
      </c>
      <c r="K27" s="3" t="s">
        <v>23</v>
      </c>
      <c r="L27" s="4" t="s">
        <v>24</v>
      </c>
      <c r="M27" s="3"/>
    </row>
    <row r="28" spans="1:13" x14ac:dyDescent="0.3">
      <c r="A28" s="7">
        <v>27</v>
      </c>
      <c r="B28" s="1" t="s">
        <v>26</v>
      </c>
      <c r="C28" s="1" t="s">
        <v>21</v>
      </c>
      <c r="D28" s="1" t="s">
        <v>22</v>
      </c>
      <c r="E28" s="8">
        <v>45292</v>
      </c>
      <c r="F28" s="1">
        <v>5</v>
      </c>
      <c r="G28" s="1">
        <v>508</v>
      </c>
      <c r="H28">
        <f t="shared" si="0"/>
        <v>2540</v>
      </c>
      <c r="I28" s="1">
        <v>2000</v>
      </c>
      <c r="J28" s="1">
        <v>2024</v>
      </c>
      <c r="K28" s="1" t="s">
        <v>50</v>
      </c>
      <c r="L28" s="2" t="s">
        <v>19</v>
      </c>
      <c r="M28" s="3"/>
    </row>
    <row r="29" spans="1:13" x14ac:dyDescent="0.3">
      <c r="A29" s="7">
        <v>28</v>
      </c>
      <c r="B29" s="3" t="s">
        <v>15</v>
      </c>
      <c r="C29" s="3" t="s">
        <v>30</v>
      </c>
      <c r="D29" s="3" t="s">
        <v>33</v>
      </c>
      <c r="E29" s="9">
        <v>44988</v>
      </c>
      <c r="F29" s="3">
        <v>4</v>
      </c>
      <c r="G29" s="3">
        <v>330</v>
      </c>
      <c r="H29">
        <f t="shared" si="0"/>
        <v>1320</v>
      </c>
      <c r="I29" s="3">
        <v>1000</v>
      </c>
      <c r="J29" s="3">
        <v>2023</v>
      </c>
      <c r="K29" s="3" t="s">
        <v>18</v>
      </c>
      <c r="L29" s="4" t="s">
        <v>44</v>
      </c>
      <c r="M29" s="3"/>
    </row>
    <row r="30" spans="1:13" x14ac:dyDescent="0.3">
      <c r="A30" s="7">
        <v>29</v>
      </c>
      <c r="B30" s="1" t="s">
        <v>26</v>
      </c>
      <c r="C30" s="1" t="s">
        <v>27</v>
      </c>
      <c r="D30" s="1" t="s">
        <v>38</v>
      </c>
      <c r="E30" s="8">
        <v>45228</v>
      </c>
      <c r="F30" s="1">
        <v>4</v>
      </c>
      <c r="G30" s="1">
        <v>107</v>
      </c>
      <c r="H30">
        <f t="shared" si="0"/>
        <v>428</v>
      </c>
      <c r="I30" s="1">
        <v>1000</v>
      </c>
      <c r="J30" s="1">
        <v>2023</v>
      </c>
      <c r="K30" s="1" t="s">
        <v>23</v>
      </c>
      <c r="L30" s="2" t="s">
        <v>24</v>
      </c>
      <c r="M30" s="3"/>
    </row>
    <row r="31" spans="1:13" x14ac:dyDescent="0.3">
      <c r="A31" s="7">
        <v>30</v>
      </c>
      <c r="B31" s="3" t="s">
        <v>20</v>
      </c>
      <c r="C31" s="3" t="s">
        <v>11</v>
      </c>
      <c r="D31" s="3" t="s">
        <v>12</v>
      </c>
      <c r="E31" s="9">
        <v>44943</v>
      </c>
      <c r="F31" s="3">
        <v>6</v>
      </c>
      <c r="G31" s="3">
        <v>172</v>
      </c>
      <c r="H31">
        <f t="shared" si="0"/>
        <v>1032</v>
      </c>
      <c r="I31" s="3">
        <v>1500</v>
      </c>
      <c r="J31" s="3">
        <v>2023</v>
      </c>
      <c r="K31" s="3" t="s">
        <v>18</v>
      </c>
      <c r="L31" s="4" t="s">
        <v>19</v>
      </c>
      <c r="M31" s="3"/>
    </row>
    <row r="32" spans="1:13" x14ac:dyDescent="0.3">
      <c r="A32" s="7">
        <v>31</v>
      </c>
      <c r="B32" s="1" t="s">
        <v>15</v>
      </c>
      <c r="C32" s="1" t="s">
        <v>27</v>
      </c>
      <c r="D32" s="1" t="s">
        <v>46</v>
      </c>
      <c r="E32" s="8">
        <v>45036</v>
      </c>
      <c r="F32" s="1">
        <v>9</v>
      </c>
      <c r="G32" s="1">
        <v>235</v>
      </c>
      <c r="H32">
        <f t="shared" si="0"/>
        <v>2115</v>
      </c>
      <c r="I32" s="1">
        <v>2500</v>
      </c>
      <c r="J32" s="1">
        <v>2023</v>
      </c>
      <c r="K32" s="1" t="s">
        <v>13</v>
      </c>
      <c r="L32" s="2" t="s">
        <v>29</v>
      </c>
      <c r="M32" s="3"/>
    </row>
    <row r="33" spans="1:13" x14ac:dyDescent="0.3">
      <c r="A33" s="7">
        <v>32</v>
      </c>
      <c r="B33" s="3" t="s">
        <v>15</v>
      </c>
      <c r="C33" s="3" t="s">
        <v>21</v>
      </c>
      <c r="D33" s="3" t="s">
        <v>25</v>
      </c>
      <c r="E33" s="9">
        <v>45024</v>
      </c>
      <c r="F33" s="3">
        <v>2</v>
      </c>
      <c r="G33" s="3">
        <v>199</v>
      </c>
      <c r="H33">
        <f t="shared" si="0"/>
        <v>398</v>
      </c>
      <c r="I33" s="3">
        <v>2500</v>
      </c>
      <c r="J33" s="3">
        <v>2023</v>
      </c>
      <c r="K33" s="3" t="s">
        <v>13</v>
      </c>
      <c r="L33" s="4" t="s">
        <v>29</v>
      </c>
      <c r="M33" s="3"/>
    </row>
    <row r="34" spans="1:13" x14ac:dyDescent="0.3">
      <c r="A34" s="7">
        <v>33</v>
      </c>
      <c r="B34" s="1" t="s">
        <v>15</v>
      </c>
      <c r="C34" s="1" t="s">
        <v>27</v>
      </c>
      <c r="D34" s="1" t="s">
        <v>28</v>
      </c>
      <c r="E34" s="8">
        <v>45166</v>
      </c>
      <c r="F34" s="1">
        <v>1</v>
      </c>
      <c r="G34" s="1">
        <v>789</v>
      </c>
      <c r="H34">
        <f t="shared" si="0"/>
        <v>789</v>
      </c>
      <c r="I34" s="1">
        <v>1000</v>
      </c>
      <c r="J34" s="1">
        <v>2023</v>
      </c>
      <c r="K34" s="1" t="s">
        <v>34</v>
      </c>
      <c r="L34" s="2" t="s">
        <v>45</v>
      </c>
      <c r="M34" s="3"/>
    </row>
    <row r="35" spans="1:13" x14ac:dyDescent="0.3">
      <c r="A35" s="7">
        <v>34</v>
      </c>
      <c r="B35" s="3" t="s">
        <v>10</v>
      </c>
      <c r="C35" s="3" t="s">
        <v>11</v>
      </c>
      <c r="D35" s="3" t="s">
        <v>49</v>
      </c>
      <c r="E35" s="9">
        <v>44982</v>
      </c>
      <c r="F35" s="3">
        <v>4</v>
      </c>
      <c r="G35" s="3">
        <v>296</v>
      </c>
      <c r="H35">
        <f t="shared" si="0"/>
        <v>1184</v>
      </c>
      <c r="I35" s="3">
        <v>1500</v>
      </c>
      <c r="J35" s="3">
        <v>2023</v>
      </c>
      <c r="K35" s="3" t="s">
        <v>18</v>
      </c>
      <c r="L35" s="4" t="s">
        <v>39</v>
      </c>
      <c r="M35" s="3"/>
    </row>
    <row r="36" spans="1:13" x14ac:dyDescent="0.3">
      <c r="A36" s="7">
        <v>35</v>
      </c>
      <c r="B36" s="1" t="s">
        <v>26</v>
      </c>
      <c r="C36" s="1" t="s">
        <v>16</v>
      </c>
      <c r="D36" s="1" t="s">
        <v>36</v>
      </c>
      <c r="E36" s="8">
        <v>45143</v>
      </c>
      <c r="F36" s="1">
        <v>3</v>
      </c>
      <c r="G36" s="1">
        <v>385</v>
      </c>
      <c r="H36">
        <f t="shared" si="0"/>
        <v>1155</v>
      </c>
      <c r="I36" s="1">
        <v>2500</v>
      </c>
      <c r="J36" s="1">
        <v>2023</v>
      </c>
      <c r="K36" s="1" t="s">
        <v>34</v>
      </c>
      <c r="L36" s="2" t="s">
        <v>45</v>
      </c>
      <c r="M36" s="3"/>
    </row>
    <row r="37" spans="1:13" x14ac:dyDescent="0.3">
      <c r="A37" s="7">
        <v>36</v>
      </c>
      <c r="B37" s="3" t="s">
        <v>15</v>
      </c>
      <c r="C37" s="3" t="s">
        <v>21</v>
      </c>
      <c r="D37" s="3" t="s">
        <v>42</v>
      </c>
      <c r="E37" s="9">
        <v>45208</v>
      </c>
      <c r="F37" s="3">
        <v>2</v>
      </c>
      <c r="G37" s="3">
        <v>151</v>
      </c>
      <c r="H37">
        <f t="shared" si="0"/>
        <v>302</v>
      </c>
      <c r="I37" s="3">
        <v>1000</v>
      </c>
      <c r="J37" s="3">
        <v>2023</v>
      </c>
      <c r="K37" s="3" t="s">
        <v>23</v>
      </c>
      <c r="L37" s="4" t="s">
        <v>24</v>
      </c>
      <c r="M37" s="3"/>
    </row>
    <row r="38" spans="1:13" x14ac:dyDescent="0.3">
      <c r="A38" s="7">
        <v>37</v>
      </c>
      <c r="B38" s="1" t="s">
        <v>26</v>
      </c>
      <c r="C38" s="1" t="s">
        <v>11</v>
      </c>
      <c r="D38" s="1" t="s">
        <v>12</v>
      </c>
      <c r="E38" s="8">
        <v>45135</v>
      </c>
      <c r="F38" s="1">
        <v>8</v>
      </c>
      <c r="G38" s="1">
        <v>592</v>
      </c>
      <c r="H38">
        <f t="shared" si="0"/>
        <v>4736</v>
      </c>
      <c r="I38" s="1">
        <v>1500</v>
      </c>
      <c r="J38" s="1">
        <v>2023</v>
      </c>
      <c r="K38" s="1" t="s">
        <v>34</v>
      </c>
      <c r="L38" s="2" t="s">
        <v>35</v>
      </c>
      <c r="M38" s="3"/>
    </row>
    <row r="39" spans="1:13" x14ac:dyDescent="0.3">
      <c r="A39" s="7">
        <v>38</v>
      </c>
      <c r="B39" s="3" t="s">
        <v>26</v>
      </c>
      <c r="C39" s="3" t="s">
        <v>30</v>
      </c>
      <c r="D39" s="3" t="s">
        <v>31</v>
      </c>
      <c r="E39" s="9">
        <v>45121</v>
      </c>
      <c r="F39" s="3">
        <v>1</v>
      </c>
      <c r="G39" s="3">
        <v>499</v>
      </c>
      <c r="H39">
        <f t="shared" si="0"/>
        <v>499</v>
      </c>
      <c r="I39" s="3">
        <v>2000</v>
      </c>
      <c r="J39" s="3">
        <v>2023</v>
      </c>
      <c r="K39" s="3" t="s">
        <v>34</v>
      </c>
      <c r="L39" s="4" t="s">
        <v>35</v>
      </c>
      <c r="M39" s="3"/>
    </row>
    <row r="40" spans="1:13" x14ac:dyDescent="0.3">
      <c r="A40" s="7">
        <v>39</v>
      </c>
      <c r="B40" s="1" t="s">
        <v>15</v>
      </c>
      <c r="C40" s="1" t="s">
        <v>30</v>
      </c>
      <c r="D40" s="1" t="s">
        <v>41</v>
      </c>
      <c r="E40" s="8">
        <v>45283</v>
      </c>
      <c r="F40" s="1">
        <v>9</v>
      </c>
      <c r="G40" s="1">
        <v>777</v>
      </c>
      <c r="H40">
        <f t="shared" si="0"/>
        <v>6993</v>
      </c>
      <c r="I40" s="1">
        <v>2500</v>
      </c>
      <c r="J40" s="1">
        <v>2023</v>
      </c>
      <c r="K40" s="1" t="s">
        <v>23</v>
      </c>
      <c r="L40" s="2" t="s">
        <v>37</v>
      </c>
      <c r="M40" s="3"/>
    </row>
    <row r="41" spans="1:13" x14ac:dyDescent="0.3">
      <c r="A41" s="7">
        <v>40</v>
      </c>
      <c r="B41" s="3" t="s">
        <v>10</v>
      </c>
      <c r="C41" s="3" t="s">
        <v>21</v>
      </c>
      <c r="D41" s="3" t="s">
        <v>42</v>
      </c>
      <c r="E41" s="9">
        <v>45038</v>
      </c>
      <c r="F41" s="3">
        <v>1</v>
      </c>
      <c r="G41" s="3">
        <v>693</v>
      </c>
      <c r="H41">
        <f t="shared" si="0"/>
        <v>693</v>
      </c>
      <c r="I41" s="3">
        <v>1000</v>
      </c>
      <c r="J41" s="3">
        <v>2023</v>
      </c>
      <c r="K41" s="3" t="s">
        <v>13</v>
      </c>
      <c r="L41" s="4" t="s">
        <v>29</v>
      </c>
      <c r="M41" s="3"/>
    </row>
    <row r="42" spans="1:13" x14ac:dyDescent="0.3">
      <c r="A42" s="7">
        <v>41</v>
      </c>
      <c r="B42" s="1" t="s">
        <v>20</v>
      </c>
      <c r="C42" s="1" t="s">
        <v>27</v>
      </c>
      <c r="D42" s="1" t="s">
        <v>38</v>
      </c>
      <c r="E42" s="8">
        <v>45226</v>
      </c>
      <c r="F42" s="1">
        <v>8</v>
      </c>
      <c r="G42" s="1">
        <v>614</v>
      </c>
      <c r="H42">
        <f t="shared" si="0"/>
        <v>4912</v>
      </c>
      <c r="I42" s="1">
        <v>1500</v>
      </c>
      <c r="J42" s="1">
        <v>2023</v>
      </c>
      <c r="K42" s="1" t="s">
        <v>23</v>
      </c>
      <c r="L42" s="2" t="s">
        <v>24</v>
      </c>
      <c r="M42" s="3"/>
    </row>
    <row r="43" spans="1:13" x14ac:dyDescent="0.3">
      <c r="A43" s="7">
        <v>42</v>
      </c>
      <c r="B43" s="3" t="s">
        <v>20</v>
      </c>
      <c r="C43" s="3" t="s">
        <v>11</v>
      </c>
      <c r="D43" s="3" t="s">
        <v>40</v>
      </c>
      <c r="E43" s="9">
        <v>45022</v>
      </c>
      <c r="F43" s="3">
        <v>2</v>
      </c>
      <c r="G43" s="3">
        <v>709</v>
      </c>
      <c r="H43">
        <f t="shared" si="0"/>
        <v>1418</v>
      </c>
      <c r="I43" s="3">
        <v>1000</v>
      </c>
      <c r="J43" s="3">
        <v>2023</v>
      </c>
      <c r="K43" s="3" t="s">
        <v>13</v>
      </c>
      <c r="L43" s="4" t="s">
        <v>29</v>
      </c>
      <c r="M43" s="3"/>
    </row>
    <row r="44" spans="1:13" x14ac:dyDescent="0.3">
      <c r="A44" s="7">
        <v>43</v>
      </c>
      <c r="B44" s="1" t="s">
        <v>20</v>
      </c>
      <c r="C44" s="1" t="s">
        <v>21</v>
      </c>
      <c r="D44" s="1" t="s">
        <v>25</v>
      </c>
      <c r="E44" s="8">
        <v>45218</v>
      </c>
      <c r="F44" s="1">
        <v>4</v>
      </c>
      <c r="G44" s="1">
        <v>692</v>
      </c>
      <c r="H44">
        <f t="shared" si="0"/>
        <v>2768</v>
      </c>
      <c r="I44" s="1">
        <v>1000</v>
      </c>
      <c r="J44" s="1">
        <v>2023</v>
      </c>
      <c r="K44" s="1" t="s">
        <v>23</v>
      </c>
      <c r="L44" s="2" t="s">
        <v>24</v>
      </c>
      <c r="M44" s="3"/>
    </row>
    <row r="45" spans="1:13" x14ac:dyDescent="0.3">
      <c r="A45" s="7">
        <v>44</v>
      </c>
      <c r="B45" s="3" t="s">
        <v>15</v>
      </c>
      <c r="C45" s="3" t="s">
        <v>16</v>
      </c>
      <c r="D45" s="3" t="s">
        <v>17</v>
      </c>
      <c r="E45" s="9">
        <v>45263</v>
      </c>
      <c r="F45" s="3">
        <v>10</v>
      </c>
      <c r="G45" s="3">
        <v>678</v>
      </c>
      <c r="H45">
        <f t="shared" si="0"/>
        <v>6780</v>
      </c>
      <c r="I45" s="3">
        <v>2000</v>
      </c>
      <c r="J45" s="3">
        <v>2023</v>
      </c>
      <c r="K45" s="3" t="s">
        <v>23</v>
      </c>
      <c r="L45" s="4" t="s">
        <v>37</v>
      </c>
      <c r="M45" s="3"/>
    </row>
    <row r="46" spans="1:13" x14ac:dyDescent="0.3">
      <c r="A46" s="7">
        <v>45</v>
      </c>
      <c r="B46" s="1" t="s">
        <v>10</v>
      </c>
      <c r="C46" s="1" t="s">
        <v>27</v>
      </c>
      <c r="D46" s="1" t="s">
        <v>38</v>
      </c>
      <c r="E46" s="8">
        <v>45049</v>
      </c>
      <c r="F46" s="1">
        <v>5</v>
      </c>
      <c r="G46" s="1">
        <v>505</v>
      </c>
      <c r="H46">
        <f t="shared" si="0"/>
        <v>2525</v>
      </c>
      <c r="I46" s="1">
        <v>1500</v>
      </c>
      <c r="J46" s="1">
        <v>2023</v>
      </c>
      <c r="K46" s="1" t="s">
        <v>13</v>
      </c>
      <c r="L46" s="2" t="s">
        <v>14</v>
      </c>
      <c r="M46" s="3"/>
    </row>
    <row r="47" spans="1:13" x14ac:dyDescent="0.3">
      <c r="A47" s="7">
        <v>46</v>
      </c>
      <c r="B47" s="3" t="s">
        <v>10</v>
      </c>
      <c r="C47" s="3" t="s">
        <v>27</v>
      </c>
      <c r="D47" s="3" t="s">
        <v>28</v>
      </c>
      <c r="E47" s="9">
        <v>44964</v>
      </c>
      <c r="F47" s="3">
        <v>1</v>
      </c>
      <c r="G47" s="3">
        <v>569</v>
      </c>
      <c r="H47">
        <f t="shared" si="0"/>
        <v>569</v>
      </c>
      <c r="I47" s="3">
        <v>1000</v>
      </c>
      <c r="J47" s="3">
        <v>2023</v>
      </c>
      <c r="K47" s="3" t="s">
        <v>18</v>
      </c>
      <c r="L47" s="4" t="s">
        <v>39</v>
      </c>
      <c r="M47" s="3"/>
    </row>
    <row r="48" spans="1:13" x14ac:dyDescent="0.3">
      <c r="A48" s="7">
        <v>47</v>
      </c>
      <c r="B48" s="1" t="s">
        <v>26</v>
      </c>
      <c r="C48" s="1" t="s">
        <v>11</v>
      </c>
      <c r="D48" s="1" t="s">
        <v>40</v>
      </c>
      <c r="E48" s="8">
        <v>45186</v>
      </c>
      <c r="F48" s="1">
        <v>5</v>
      </c>
      <c r="G48" s="1">
        <v>235</v>
      </c>
      <c r="H48">
        <f t="shared" si="0"/>
        <v>1175</v>
      </c>
      <c r="I48" s="1">
        <v>2000</v>
      </c>
      <c r="J48" s="1">
        <v>2023</v>
      </c>
      <c r="K48" s="1" t="s">
        <v>34</v>
      </c>
      <c r="L48" s="2" t="s">
        <v>47</v>
      </c>
      <c r="M48" s="3"/>
    </row>
    <row r="49" spans="1:13" x14ac:dyDescent="0.3">
      <c r="A49" s="7">
        <v>48</v>
      </c>
      <c r="B49" s="3" t="s">
        <v>10</v>
      </c>
      <c r="C49" s="3" t="s">
        <v>11</v>
      </c>
      <c r="D49" s="3" t="s">
        <v>12</v>
      </c>
      <c r="E49" s="9">
        <v>45072</v>
      </c>
      <c r="F49" s="3">
        <v>3</v>
      </c>
      <c r="G49" s="3">
        <v>548</v>
      </c>
      <c r="H49">
        <f t="shared" si="0"/>
        <v>1644</v>
      </c>
      <c r="I49" s="3">
        <v>2000</v>
      </c>
      <c r="J49" s="3">
        <v>2023</v>
      </c>
      <c r="K49" s="3" t="s">
        <v>13</v>
      </c>
      <c r="L49" s="4" t="s">
        <v>14</v>
      </c>
      <c r="M49" s="3"/>
    </row>
    <row r="50" spans="1:13" x14ac:dyDescent="0.3">
      <c r="A50" s="7">
        <v>49</v>
      </c>
      <c r="B50" s="1" t="s">
        <v>20</v>
      </c>
      <c r="C50" s="1" t="s">
        <v>16</v>
      </c>
      <c r="D50" s="1" t="s">
        <v>43</v>
      </c>
      <c r="E50" s="8">
        <v>45268</v>
      </c>
      <c r="F50" s="1">
        <v>9</v>
      </c>
      <c r="G50" s="1">
        <v>406</v>
      </c>
      <c r="H50">
        <f t="shared" si="0"/>
        <v>3654</v>
      </c>
      <c r="I50" s="1">
        <v>1000</v>
      </c>
      <c r="J50" s="1">
        <v>2023</v>
      </c>
      <c r="K50" s="1" t="s">
        <v>23</v>
      </c>
      <c r="L50" s="2" t="s">
        <v>37</v>
      </c>
      <c r="M50" s="3"/>
    </row>
    <row r="51" spans="1:13" x14ac:dyDescent="0.3">
      <c r="A51" s="7">
        <v>50</v>
      </c>
      <c r="B51" s="3" t="s">
        <v>20</v>
      </c>
      <c r="C51" s="3" t="s">
        <v>21</v>
      </c>
      <c r="D51" s="3" t="s">
        <v>25</v>
      </c>
      <c r="E51" s="9">
        <v>44981</v>
      </c>
      <c r="F51" s="3">
        <v>9</v>
      </c>
      <c r="G51" s="3">
        <v>259</v>
      </c>
      <c r="H51">
        <f t="shared" si="0"/>
        <v>2331</v>
      </c>
      <c r="I51" s="3">
        <v>2000</v>
      </c>
      <c r="J51" s="3">
        <v>2023</v>
      </c>
      <c r="K51" s="3" t="s">
        <v>18</v>
      </c>
      <c r="L51" s="4" t="s">
        <v>39</v>
      </c>
      <c r="M51" s="3"/>
    </row>
    <row r="52" spans="1:13" x14ac:dyDescent="0.3">
      <c r="A52" s="7">
        <v>51</v>
      </c>
      <c r="B52" s="1" t="s">
        <v>26</v>
      </c>
      <c r="C52" s="1" t="s">
        <v>27</v>
      </c>
      <c r="D52" s="1" t="s">
        <v>46</v>
      </c>
      <c r="E52" s="8">
        <v>45102</v>
      </c>
      <c r="F52" s="1">
        <v>4</v>
      </c>
      <c r="G52" s="1">
        <v>803</v>
      </c>
      <c r="H52">
        <f t="shared" si="0"/>
        <v>3212</v>
      </c>
      <c r="I52" s="1">
        <v>2000</v>
      </c>
      <c r="J52" s="1">
        <v>2023</v>
      </c>
      <c r="K52" s="1" t="s">
        <v>13</v>
      </c>
      <c r="L52" s="2" t="s">
        <v>32</v>
      </c>
      <c r="M52" s="3"/>
    </row>
    <row r="53" spans="1:13" x14ac:dyDescent="0.3">
      <c r="A53" s="7">
        <v>52</v>
      </c>
      <c r="B53" s="3" t="s">
        <v>10</v>
      </c>
      <c r="C53" s="3" t="s">
        <v>16</v>
      </c>
      <c r="D53" s="3" t="s">
        <v>36</v>
      </c>
      <c r="E53" s="9">
        <v>44953</v>
      </c>
      <c r="F53" s="3">
        <v>2</v>
      </c>
      <c r="G53" s="3">
        <v>749</v>
      </c>
      <c r="H53">
        <f t="shared" si="0"/>
        <v>1498</v>
      </c>
      <c r="I53" s="3">
        <v>2500</v>
      </c>
      <c r="J53" s="3">
        <v>2023</v>
      </c>
      <c r="K53" s="3" t="s">
        <v>18</v>
      </c>
      <c r="L53" s="4" t="s">
        <v>19</v>
      </c>
      <c r="M53" s="3"/>
    </row>
    <row r="54" spans="1:13" x14ac:dyDescent="0.3">
      <c r="A54" s="7">
        <v>53</v>
      </c>
      <c r="B54" s="1" t="s">
        <v>20</v>
      </c>
      <c r="C54" s="1" t="s">
        <v>27</v>
      </c>
      <c r="D54" s="1" t="s">
        <v>38</v>
      </c>
      <c r="E54" s="8">
        <v>45097</v>
      </c>
      <c r="F54" s="1">
        <v>3</v>
      </c>
      <c r="G54" s="1">
        <v>752</v>
      </c>
      <c r="H54">
        <f t="shared" si="0"/>
        <v>2256</v>
      </c>
      <c r="I54" s="1">
        <v>2000</v>
      </c>
      <c r="J54" s="1">
        <v>2023</v>
      </c>
      <c r="K54" s="1" t="s">
        <v>13</v>
      </c>
      <c r="L54" s="2" t="s">
        <v>32</v>
      </c>
      <c r="M54" s="3"/>
    </row>
    <row r="55" spans="1:13" x14ac:dyDescent="0.3">
      <c r="A55" s="7">
        <v>54</v>
      </c>
      <c r="B55" s="3" t="s">
        <v>15</v>
      </c>
      <c r="C55" s="3" t="s">
        <v>21</v>
      </c>
      <c r="D55" s="3" t="s">
        <v>22</v>
      </c>
      <c r="E55" s="9">
        <v>45209</v>
      </c>
      <c r="F55" s="3">
        <v>7</v>
      </c>
      <c r="G55" s="3">
        <v>674</v>
      </c>
      <c r="H55">
        <f t="shared" si="0"/>
        <v>4718</v>
      </c>
      <c r="I55" s="3">
        <v>1000</v>
      </c>
      <c r="J55" s="3">
        <v>2023</v>
      </c>
      <c r="K55" s="3" t="s">
        <v>23</v>
      </c>
      <c r="L55" s="4" t="s">
        <v>24</v>
      </c>
      <c r="M55" s="3"/>
    </row>
    <row r="56" spans="1:13" x14ac:dyDescent="0.3">
      <c r="A56" s="7">
        <v>55</v>
      </c>
      <c r="B56" s="1" t="s">
        <v>26</v>
      </c>
      <c r="C56" s="1" t="s">
        <v>11</v>
      </c>
      <c r="D56" s="1" t="s">
        <v>12</v>
      </c>
      <c r="E56" s="8">
        <v>45206</v>
      </c>
      <c r="F56" s="1">
        <v>1</v>
      </c>
      <c r="G56" s="1">
        <v>954</v>
      </c>
      <c r="H56">
        <f t="shared" si="0"/>
        <v>954</v>
      </c>
      <c r="I56" s="1">
        <v>2000</v>
      </c>
      <c r="J56" s="1">
        <v>2023</v>
      </c>
      <c r="K56" s="1" t="s">
        <v>23</v>
      </c>
      <c r="L56" s="2" t="s">
        <v>24</v>
      </c>
      <c r="M56" s="3"/>
    </row>
    <row r="57" spans="1:13" x14ac:dyDescent="0.3">
      <c r="A57" s="7">
        <v>56</v>
      </c>
      <c r="B57" s="3" t="s">
        <v>26</v>
      </c>
      <c r="C57" s="3" t="s">
        <v>16</v>
      </c>
      <c r="D57" s="3" t="s">
        <v>43</v>
      </c>
      <c r="E57" s="9">
        <v>45147</v>
      </c>
      <c r="F57" s="3">
        <v>3</v>
      </c>
      <c r="G57" s="3">
        <v>142</v>
      </c>
      <c r="H57">
        <f t="shared" si="0"/>
        <v>426</v>
      </c>
      <c r="I57" s="3">
        <v>2000</v>
      </c>
      <c r="J57" s="3">
        <v>2023</v>
      </c>
      <c r="K57" s="3" t="s">
        <v>34</v>
      </c>
      <c r="L57" s="4" t="s">
        <v>45</v>
      </c>
      <c r="M57" s="3"/>
    </row>
    <row r="58" spans="1:13" x14ac:dyDescent="0.3">
      <c r="A58" s="7">
        <v>57</v>
      </c>
      <c r="B58" s="1" t="s">
        <v>10</v>
      </c>
      <c r="C58" s="1" t="s">
        <v>27</v>
      </c>
      <c r="D58" s="1" t="s">
        <v>38</v>
      </c>
      <c r="E58" s="8">
        <v>45034</v>
      </c>
      <c r="F58" s="1">
        <v>4</v>
      </c>
      <c r="G58" s="1">
        <v>782</v>
      </c>
      <c r="H58">
        <f t="shared" si="0"/>
        <v>3128</v>
      </c>
      <c r="I58" s="1">
        <v>1000</v>
      </c>
      <c r="J58" s="1">
        <v>2023</v>
      </c>
      <c r="K58" s="1" t="s">
        <v>13</v>
      </c>
      <c r="L58" s="2" t="s">
        <v>29</v>
      </c>
      <c r="M58" s="3"/>
    </row>
    <row r="59" spans="1:13" x14ac:dyDescent="0.3">
      <c r="A59" s="7">
        <v>58</v>
      </c>
      <c r="B59" s="3" t="s">
        <v>15</v>
      </c>
      <c r="C59" s="3" t="s">
        <v>27</v>
      </c>
      <c r="D59" s="3" t="s">
        <v>46</v>
      </c>
      <c r="E59" s="9">
        <v>45244</v>
      </c>
      <c r="F59" s="3">
        <v>3</v>
      </c>
      <c r="G59" s="3">
        <v>342</v>
      </c>
      <c r="H59">
        <f t="shared" si="0"/>
        <v>1026</v>
      </c>
      <c r="I59" s="3">
        <v>1500</v>
      </c>
      <c r="J59" s="3">
        <v>2023</v>
      </c>
      <c r="K59" s="3" t="s">
        <v>23</v>
      </c>
      <c r="L59" s="4" t="s">
        <v>48</v>
      </c>
      <c r="M59" s="3"/>
    </row>
    <row r="60" spans="1:13" x14ac:dyDescent="0.3">
      <c r="A60" s="7">
        <v>59</v>
      </c>
      <c r="B60" s="1" t="s">
        <v>20</v>
      </c>
      <c r="C60" s="1" t="s">
        <v>21</v>
      </c>
      <c r="D60" s="1" t="s">
        <v>25</v>
      </c>
      <c r="E60" s="8">
        <v>45018</v>
      </c>
      <c r="F60" s="1">
        <v>6</v>
      </c>
      <c r="G60" s="1">
        <v>901</v>
      </c>
      <c r="H60">
        <f t="shared" si="0"/>
        <v>5406</v>
      </c>
      <c r="I60" s="1">
        <v>2500</v>
      </c>
      <c r="J60" s="1">
        <v>2023</v>
      </c>
      <c r="K60" s="1" t="s">
        <v>13</v>
      </c>
      <c r="L60" s="2" t="s">
        <v>29</v>
      </c>
      <c r="M60" s="3"/>
    </row>
    <row r="61" spans="1:13" x14ac:dyDescent="0.3">
      <c r="A61" s="7">
        <v>60</v>
      </c>
      <c r="B61" s="3" t="s">
        <v>26</v>
      </c>
      <c r="C61" s="3" t="s">
        <v>21</v>
      </c>
      <c r="D61" s="3" t="s">
        <v>25</v>
      </c>
      <c r="E61" s="9">
        <v>45286</v>
      </c>
      <c r="F61" s="3">
        <v>2</v>
      </c>
      <c r="G61" s="3">
        <v>491</v>
      </c>
      <c r="H61">
        <f t="shared" si="0"/>
        <v>982</v>
      </c>
      <c r="I61" s="3">
        <v>1000</v>
      </c>
      <c r="J61" s="3">
        <v>2023</v>
      </c>
      <c r="K61" s="3" t="s">
        <v>23</v>
      </c>
      <c r="L61" s="4" t="s">
        <v>37</v>
      </c>
      <c r="M61" s="3"/>
    </row>
    <row r="62" spans="1:13" x14ac:dyDescent="0.3">
      <c r="A62" s="7">
        <v>61</v>
      </c>
      <c r="B62" s="1" t="s">
        <v>26</v>
      </c>
      <c r="C62" s="1" t="s">
        <v>30</v>
      </c>
      <c r="D62" s="1" t="s">
        <v>31</v>
      </c>
      <c r="E62" s="8">
        <v>45162</v>
      </c>
      <c r="F62" s="1">
        <v>6</v>
      </c>
      <c r="G62" s="1">
        <v>412</v>
      </c>
      <c r="H62">
        <f t="shared" si="0"/>
        <v>2472</v>
      </c>
      <c r="I62" s="1">
        <v>1500</v>
      </c>
      <c r="J62" s="1">
        <v>2023</v>
      </c>
      <c r="K62" s="1" t="s">
        <v>34</v>
      </c>
      <c r="L62" s="2" t="s">
        <v>45</v>
      </c>
      <c r="M62" s="3"/>
    </row>
    <row r="63" spans="1:13" x14ac:dyDescent="0.3">
      <c r="A63" s="7">
        <v>62</v>
      </c>
      <c r="B63" s="3" t="s">
        <v>26</v>
      </c>
      <c r="C63" s="3" t="s">
        <v>21</v>
      </c>
      <c r="D63" s="3" t="s">
        <v>42</v>
      </c>
      <c r="E63" s="9">
        <v>45131</v>
      </c>
      <c r="F63" s="3">
        <v>6</v>
      </c>
      <c r="G63" s="3">
        <v>385</v>
      </c>
      <c r="H63">
        <f t="shared" si="0"/>
        <v>2310</v>
      </c>
      <c r="I63" s="3">
        <v>1000</v>
      </c>
      <c r="J63" s="3">
        <v>2023</v>
      </c>
      <c r="K63" s="3" t="s">
        <v>34</v>
      </c>
      <c r="L63" s="4" t="s">
        <v>35</v>
      </c>
      <c r="M63" s="3"/>
    </row>
    <row r="64" spans="1:13" x14ac:dyDescent="0.3">
      <c r="A64" s="7">
        <v>63</v>
      </c>
      <c r="B64" s="1" t="s">
        <v>15</v>
      </c>
      <c r="C64" s="1" t="s">
        <v>27</v>
      </c>
      <c r="D64" s="1" t="s">
        <v>28</v>
      </c>
      <c r="E64" s="8">
        <v>45274</v>
      </c>
      <c r="F64" s="1">
        <v>9</v>
      </c>
      <c r="G64" s="1">
        <v>439</v>
      </c>
      <c r="H64">
        <f t="shared" si="0"/>
        <v>3951</v>
      </c>
      <c r="I64" s="1">
        <v>1000</v>
      </c>
      <c r="J64" s="1">
        <v>2023</v>
      </c>
      <c r="K64" s="1" t="s">
        <v>23</v>
      </c>
      <c r="L64" s="2" t="s">
        <v>37</v>
      </c>
      <c r="M64" s="3"/>
    </row>
    <row r="65" spans="1:13" x14ac:dyDescent="0.3">
      <c r="A65" s="7">
        <v>64</v>
      </c>
      <c r="B65" s="3" t="s">
        <v>26</v>
      </c>
      <c r="C65" s="3" t="s">
        <v>11</v>
      </c>
      <c r="D65" s="3" t="s">
        <v>49</v>
      </c>
      <c r="E65" s="9">
        <v>45224</v>
      </c>
      <c r="F65" s="3">
        <v>5</v>
      </c>
      <c r="G65" s="3">
        <v>139</v>
      </c>
      <c r="H65">
        <f t="shared" si="0"/>
        <v>695</v>
      </c>
      <c r="I65" s="3">
        <v>1000</v>
      </c>
      <c r="J65" s="3">
        <v>2023</v>
      </c>
      <c r="K65" s="3" t="s">
        <v>23</v>
      </c>
      <c r="L65" s="4" t="s">
        <v>24</v>
      </c>
      <c r="M65" s="3"/>
    </row>
    <row r="66" spans="1:13" x14ac:dyDescent="0.3">
      <c r="A66" s="7">
        <v>65</v>
      </c>
      <c r="B66" s="1" t="s">
        <v>10</v>
      </c>
      <c r="C66" s="1" t="s">
        <v>16</v>
      </c>
      <c r="D66" s="1" t="s">
        <v>36</v>
      </c>
      <c r="E66" s="8">
        <v>45087</v>
      </c>
      <c r="F66" s="1">
        <v>7</v>
      </c>
      <c r="G66" s="1">
        <v>720</v>
      </c>
      <c r="H66">
        <f t="shared" si="0"/>
        <v>5040</v>
      </c>
      <c r="I66" s="1">
        <v>1000</v>
      </c>
      <c r="J66" s="1">
        <v>2023</v>
      </c>
      <c r="K66" s="1" t="s">
        <v>13</v>
      </c>
      <c r="L66" s="2" t="s">
        <v>32</v>
      </c>
      <c r="M66" s="3"/>
    </row>
    <row r="67" spans="1:13" x14ac:dyDescent="0.3">
      <c r="A67" s="7">
        <v>66</v>
      </c>
      <c r="B67" s="3" t="s">
        <v>26</v>
      </c>
      <c r="C67" s="3" t="s">
        <v>30</v>
      </c>
      <c r="D67" s="3" t="s">
        <v>33</v>
      </c>
      <c r="E67" s="9">
        <v>45057</v>
      </c>
      <c r="F67" s="3">
        <v>1</v>
      </c>
      <c r="G67" s="3">
        <v>825</v>
      </c>
      <c r="H67">
        <f t="shared" ref="H67:H130" si="1">F67*G67</f>
        <v>825</v>
      </c>
      <c r="I67" s="3">
        <v>2500</v>
      </c>
      <c r="J67" s="3">
        <v>2023</v>
      </c>
      <c r="K67" s="3" t="s">
        <v>13</v>
      </c>
      <c r="L67" s="4" t="s">
        <v>14</v>
      </c>
      <c r="M67" s="3"/>
    </row>
    <row r="68" spans="1:13" x14ac:dyDescent="0.3">
      <c r="A68" s="7">
        <v>67</v>
      </c>
      <c r="B68" s="1" t="s">
        <v>26</v>
      </c>
      <c r="C68" s="1" t="s">
        <v>11</v>
      </c>
      <c r="D68" s="1" t="s">
        <v>40</v>
      </c>
      <c r="E68" s="8">
        <v>45113</v>
      </c>
      <c r="F68" s="1">
        <v>7</v>
      </c>
      <c r="G68" s="1">
        <v>171</v>
      </c>
      <c r="H68">
        <f t="shared" si="1"/>
        <v>1197</v>
      </c>
      <c r="I68" s="1">
        <v>2000</v>
      </c>
      <c r="J68" s="1">
        <v>2023</v>
      </c>
      <c r="K68" s="1" t="s">
        <v>34</v>
      </c>
      <c r="L68" s="2" t="s">
        <v>35</v>
      </c>
      <c r="M68" s="3"/>
    </row>
    <row r="69" spans="1:13" x14ac:dyDescent="0.3">
      <c r="A69" s="7">
        <v>68</v>
      </c>
      <c r="B69" s="3" t="s">
        <v>20</v>
      </c>
      <c r="C69" s="3" t="s">
        <v>16</v>
      </c>
      <c r="D69" s="3" t="s">
        <v>36</v>
      </c>
      <c r="E69" s="9">
        <v>45080</v>
      </c>
      <c r="F69" s="3">
        <v>9</v>
      </c>
      <c r="G69" s="3">
        <v>416</v>
      </c>
      <c r="H69">
        <f t="shared" si="1"/>
        <v>3744</v>
      </c>
      <c r="I69" s="3">
        <v>2500</v>
      </c>
      <c r="J69" s="3">
        <v>2023</v>
      </c>
      <c r="K69" s="3" t="s">
        <v>13</v>
      </c>
      <c r="L69" s="4" t="s">
        <v>32</v>
      </c>
      <c r="M69" s="3"/>
    </row>
    <row r="70" spans="1:13" x14ac:dyDescent="0.3">
      <c r="A70" s="7">
        <v>69</v>
      </c>
      <c r="B70" s="1" t="s">
        <v>10</v>
      </c>
      <c r="C70" s="1" t="s">
        <v>27</v>
      </c>
      <c r="D70" s="1" t="s">
        <v>28</v>
      </c>
      <c r="E70" s="8">
        <v>45210</v>
      </c>
      <c r="F70" s="1">
        <v>3</v>
      </c>
      <c r="G70" s="1">
        <v>296</v>
      </c>
      <c r="H70">
        <f t="shared" si="1"/>
        <v>888</v>
      </c>
      <c r="I70" s="1">
        <v>2500</v>
      </c>
      <c r="J70" s="1">
        <v>2023</v>
      </c>
      <c r="K70" s="1" t="s">
        <v>23</v>
      </c>
      <c r="L70" s="2" t="s">
        <v>24</v>
      </c>
      <c r="M70" s="3"/>
    </row>
    <row r="71" spans="1:13" x14ac:dyDescent="0.3">
      <c r="A71" s="7">
        <v>70</v>
      </c>
      <c r="B71" s="3" t="s">
        <v>26</v>
      </c>
      <c r="C71" s="3" t="s">
        <v>30</v>
      </c>
      <c r="D71" s="3" t="s">
        <v>33</v>
      </c>
      <c r="E71" s="9">
        <v>45242</v>
      </c>
      <c r="F71" s="3">
        <v>10</v>
      </c>
      <c r="G71" s="3">
        <v>408</v>
      </c>
      <c r="H71">
        <f t="shared" si="1"/>
        <v>4080</v>
      </c>
      <c r="I71" s="3">
        <v>2500</v>
      </c>
      <c r="J71" s="3">
        <v>2023</v>
      </c>
      <c r="K71" s="3" t="s">
        <v>23</v>
      </c>
      <c r="L71" s="4" t="s">
        <v>48</v>
      </c>
      <c r="M71" s="3"/>
    </row>
    <row r="72" spans="1:13" x14ac:dyDescent="0.3">
      <c r="A72" s="7">
        <v>71</v>
      </c>
      <c r="B72" s="1" t="s">
        <v>10</v>
      </c>
      <c r="C72" s="1" t="s">
        <v>16</v>
      </c>
      <c r="D72" s="1" t="s">
        <v>17</v>
      </c>
      <c r="E72" s="8">
        <v>45073</v>
      </c>
      <c r="F72" s="1">
        <v>4</v>
      </c>
      <c r="G72" s="1">
        <v>540</v>
      </c>
      <c r="H72">
        <f t="shared" si="1"/>
        <v>2160</v>
      </c>
      <c r="I72" s="1">
        <v>2000</v>
      </c>
      <c r="J72" s="1">
        <v>2023</v>
      </c>
      <c r="K72" s="1" t="s">
        <v>13</v>
      </c>
      <c r="L72" s="2" t="s">
        <v>14</v>
      </c>
      <c r="M72" s="3"/>
    </row>
    <row r="73" spans="1:13" x14ac:dyDescent="0.3">
      <c r="A73" s="7">
        <v>72</v>
      </c>
      <c r="B73" s="3" t="s">
        <v>15</v>
      </c>
      <c r="C73" s="3" t="s">
        <v>30</v>
      </c>
      <c r="D73" s="3" t="s">
        <v>41</v>
      </c>
      <c r="E73" s="9">
        <v>45272</v>
      </c>
      <c r="F73" s="3">
        <v>4</v>
      </c>
      <c r="G73" s="3">
        <v>623</v>
      </c>
      <c r="H73">
        <f t="shared" si="1"/>
        <v>2492</v>
      </c>
      <c r="I73" s="3">
        <v>2500</v>
      </c>
      <c r="J73" s="3">
        <v>2023</v>
      </c>
      <c r="K73" s="3" t="s">
        <v>23</v>
      </c>
      <c r="L73" s="4" t="s">
        <v>37</v>
      </c>
      <c r="M73" s="3"/>
    </row>
    <row r="74" spans="1:13" x14ac:dyDescent="0.3">
      <c r="A74" s="7">
        <v>73</v>
      </c>
      <c r="B74" s="1" t="s">
        <v>20</v>
      </c>
      <c r="C74" s="1" t="s">
        <v>21</v>
      </c>
      <c r="D74" s="1" t="s">
        <v>22</v>
      </c>
      <c r="E74" s="8">
        <v>45072</v>
      </c>
      <c r="F74" s="1">
        <v>9</v>
      </c>
      <c r="G74" s="1">
        <v>779</v>
      </c>
      <c r="H74">
        <f t="shared" si="1"/>
        <v>7011</v>
      </c>
      <c r="I74" s="1">
        <v>2000</v>
      </c>
      <c r="J74" s="1">
        <v>2023</v>
      </c>
      <c r="K74" s="1" t="s">
        <v>13</v>
      </c>
      <c r="L74" s="2" t="s">
        <v>14</v>
      </c>
      <c r="M74" s="3"/>
    </row>
    <row r="75" spans="1:13" x14ac:dyDescent="0.3">
      <c r="A75" s="7">
        <v>74</v>
      </c>
      <c r="B75" s="3" t="s">
        <v>10</v>
      </c>
      <c r="C75" s="3" t="s">
        <v>11</v>
      </c>
      <c r="D75" s="3" t="s">
        <v>12</v>
      </c>
      <c r="E75" s="9">
        <v>45042</v>
      </c>
      <c r="F75" s="3">
        <v>4</v>
      </c>
      <c r="G75" s="3">
        <v>250</v>
      </c>
      <c r="H75">
        <f t="shared" si="1"/>
        <v>1000</v>
      </c>
      <c r="I75" s="3">
        <v>1000</v>
      </c>
      <c r="J75" s="3">
        <v>2023</v>
      </c>
      <c r="K75" s="3" t="s">
        <v>13</v>
      </c>
      <c r="L75" s="4" t="s">
        <v>29</v>
      </c>
      <c r="M75" s="3"/>
    </row>
    <row r="76" spans="1:13" x14ac:dyDescent="0.3">
      <c r="A76" s="7">
        <v>75</v>
      </c>
      <c r="B76" s="1" t="s">
        <v>15</v>
      </c>
      <c r="C76" s="1" t="s">
        <v>11</v>
      </c>
      <c r="D76" s="1" t="s">
        <v>12</v>
      </c>
      <c r="E76" s="8">
        <v>45239</v>
      </c>
      <c r="F76" s="1">
        <v>2</v>
      </c>
      <c r="G76" s="1">
        <v>566</v>
      </c>
      <c r="H76">
        <f t="shared" si="1"/>
        <v>1132</v>
      </c>
      <c r="I76" s="1">
        <v>2500</v>
      </c>
      <c r="J76" s="1">
        <v>2023</v>
      </c>
      <c r="K76" s="1" t="s">
        <v>23</v>
      </c>
      <c r="L76" s="2" t="s">
        <v>48</v>
      </c>
      <c r="M76" s="3"/>
    </row>
    <row r="77" spans="1:13" x14ac:dyDescent="0.3">
      <c r="A77" s="7">
        <v>76</v>
      </c>
      <c r="B77" s="3" t="s">
        <v>15</v>
      </c>
      <c r="C77" s="3" t="s">
        <v>16</v>
      </c>
      <c r="D77" s="3" t="s">
        <v>17</v>
      </c>
      <c r="E77" s="9">
        <v>45180</v>
      </c>
      <c r="F77" s="3">
        <v>7</v>
      </c>
      <c r="G77" s="3">
        <v>349</v>
      </c>
      <c r="H77">
        <f t="shared" si="1"/>
        <v>2443</v>
      </c>
      <c r="I77" s="3">
        <v>1500</v>
      </c>
      <c r="J77" s="3">
        <v>2023</v>
      </c>
      <c r="K77" s="3" t="s">
        <v>34</v>
      </c>
      <c r="L77" s="4" t="s">
        <v>47</v>
      </c>
      <c r="M77" s="3"/>
    </row>
    <row r="78" spans="1:13" x14ac:dyDescent="0.3">
      <c r="A78" s="7">
        <v>77</v>
      </c>
      <c r="B78" s="1" t="s">
        <v>15</v>
      </c>
      <c r="C78" s="1" t="s">
        <v>11</v>
      </c>
      <c r="D78" s="1" t="s">
        <v>12</v>
      </c>
      <c r="E78" s="8">
        <v>45039</v>
      </c>
      <c r="F78" s="1">
        <v>3</v>
      </c>
      <c r="G78" s="1">
        <v>923</v>
      </c>
      <c r="H78">
        <f t="shared" si="1"/>
        <v>2769</v>
      </c>
      <c r="I78" s="1">
        <v>2500</v>
      </c>
      <c r="J78" s="1">
        <v>2023</v>
      </c>
      <c r="K78" s="1" t="s">
        <v>13</v>
      </c>
      <c r="L78" s="2" t="s">
        <v>29</v>
      </c>
      <c r="M78" s="3"/>
    </row>
    <row r="79" spans="1:13" x14ac:dyDescent="0.3">
      <c r="A79" s="7">
        <v>78</v>
      </c>
      <c r="B79" s="3" t="s">
        <v>26</v>
      </c>
      <c r="C79" s="3" t="s">
        <v>11</v>
      </c>
      <c r="D79" s="3" t="s">
        <v>40</v>
      </c>
      <c r="E79" s="9">
        <v>44989</v>
      </c>
      <c r="F79" s="3">
        <v>8</v>
      </c>
      <c r="G79" s="3">
        <v>236</v>
      </c>
      <c r="H79">
        <f t="shared" si="1"/>
        <v>1888</v>
      </c>
      <c r="I79" s="3">
        <v>2500</v>
      </c>
      <c r="J79" s="3">
        <v>2023</v>
      </c>
      <c r="K79" s="3" t="s">
        <v>18</v>
      </c>
      <c r="L79" s="4" t="s">
        <v>44</v>
      </c>
      <c r="M79" s="3"/>
    </row>
    <row r="80" spans="1:13" x14ac:dyDescent="0.3">
      <c r="A80" s="7">
        <v>79</v>
      </c>
      <c r="B80" s="1" t="s">
        <v>10</v>
      </c>
      <c r="C80" s="1" t="s">
        <v>16</v>
      </c>
      <c r="D80" s="1" t="s">
        <v>43</v>
      </c>
      <c r="E80" s="8">
        <v>45153</v>
      </c>
      <c r="F80" s="1">
        <v>10</v>
      </c>
      <c r="G80" s="1">
        <v>934</v>
      </c>
      <c r="H80">
        <f t="shared" si="1"/>
        <v>9340</v>
      </c>
      <c r="I80" s="1">
        <v>2500</v>
      </c>
      <c r="J80" s="1">
        <v>2023</v>
      </c>
      <c r="K80" s="1" t="s">
        <v>34</v>
      </c>
      <c r="L80" s="2" t="s">
        <v>45</v>
      </c>
      <c r="M80" s="3"/>
    </row>
    <row r="81" spans="1:13" x14ac:dyDescent="0.3">
      <c r="A81" s="7">
        <v>80</v>
      </c>
      <c r="B81" s="3" t="s">
        <v>26</v>
      </c>
      <c r="C81" s="3" t="s">
        <v>16</v>
      </c>
      <c r="D81" s="3" t="s">
        <v>36</v>
      </c>
      <c r="E81" s="9">
        <v>45170</v>
      </c>
      <c r="F81" s="3">
        <v>8</v>
      </c>
      <c r="G81" s="3">
        <v>365</v>
      </c>
      <c r="H81">
        <f t="shared" si="1"/>
        <v>2920</v>
      </c>
      <c r="I81" s="3">
        <v>1500</v>
      </c>
      <c r="J81" s="3">
        <v>2023</v>
      </c>
      <c r="K81" s="3" t="s">
        <v>34</v>
      </c>
      <c r="L81" s="4" t="s">
        <v>47</v>
      </c>
      <c r="M81" s="3"/>
    </row>
    <row r="82" spans="1:13" x14ac:dyDescent="0.3">
      <c r="A82" s="7">
        <v>81</v>
      </c>
      <c r="B82" s="1" t="s">
        <v>15</v>
      </c>
      <c r="C82" s="1" t="s">
        <v>27</v>
      </c>
      <c r="D82" s="1" t="s">
        <v>46</v>
      </c>
      <c r="E82" s="8">
        <v>45247</v>
      </c>
      <c r="F82" s="1">
        <v>4</v>
      </c>
      <c r="G82" s="1">
        <v>381</v>
      </c>
      <c r="H82">
        <f t="shared" si="1"/>
        <v>1524</v>
      </c>
      <c r="I82" s="1">
        <v>2500</v>
      </c>
      <c r="J82" s="1">
        <v>2023</v>
      </c>
      <c r="K82" s="1" t="s">
        <v>23</v>
      </c>
      <c r="L82" s="2" t="s">
        <v>48</v>
      </c>
      <c r="M82" s="3"/>
    </row>
    <row r="83" spans="1:13" x14ac:dyDescent="0.3">
      <c r="A83" s="7">
        <v>82</v>
      </c>
      <c r="B83" s="3" t="s">
        <v>10</v>
      </c>
      <c r="C83" s="3" t="s">
        <v>11</v>
      </c>
      <c r="D83" s="3" t="s">
        <v>40</v>
      </c>
      <c r="E83" s="9">
        <v>45047</v>
      </c>
      <c r="F83" s="3">
        <v>5</v>
      </c>
      <c r="G83" s="3">
        <v>443</v>
      </c>
      <c r="H83">
        <f t="shared" si="1"/>
        <v>2215</v>
      </c>
      <c r="I83" s="3">
        <v>2000</v>
      </c>
      <c r="J83" s="3">
        <v>2023</v>
      </c>
      <c r="K83" s="3" t="s">
        <v>13</v>
      </c>
      <c r="L83" s="4" t="s">
        <v>14</v>
      </c>
      <c r="M83" s="3"/>
    </row>
    <row r="84" spans="1:13" x14ac:dyDescent="0.3">
      <c r="A84" s="7">
        <v>83</v>
      </c>
      <c r="B84" s="1" t="s">
        <v>26</v>
      </c>
      <c r="C84" s="1" t="s">
        <v>16</v>
      </c>
      <c r="D84" s="1" t="s">
        <v>17</v>
      </c>
      <c r="E84" s="8">
        <v>45004</v>
      </c>
      <c r="F84" s="1">
        <v>4</v>
      </c>
      <c r="G84" s="1">
        <v>492</v>
      </c>
      <c r="H84">
        <f t="shared" si="1"/>
        <v>1968</v>
      </c>
      <c r="I84" s="1">
        <v>1500</v>
      </c>
      <c r="J84" s="1">
        <v>2023</v>
      </c>
      <c r="K84" s="1" t="s">
        <v>18</v>
      </c>
      <c r="L84" s="2" t="s">
        <v>44</v>
      </c>
      <c r="M84" s="3"/>
    </row>
    <row r="85" spans="1:13" x14ac:dyDescent="0.3">
      <c r="A85" s="7">
        <v>84</v>
      </c>
      <c r="B85" s="3" t="s">
        <v>15</v>
      </c>
      <c r="C85" s="3" t="s">
        <v>21</v>
      </c>
      <c r="D85" s="3" t="s">
        <v>42</v>
      </c>
      <c r="E85" s="9">
        <v>45135</v>
      </c>
      <c r="F85" s="3">
        <v>6</v>
      </c>
      <c r="G85" s="3">
        <v>655</v>
      </c>
      <c r="H85">
        <f t="shared" si="1"/>
        <v>3930</v>
      </c>
      <c r="I85" s="3">
        <v>2500</v>
      </c>
      <c r="J85" s="3">
        <v>2023</v>
      </c>
      <c r="K85" s="3" t="s">
        <v>34</v>
      </c>
      <c r="L85" s="4" t="s">
        <v>35</v>
      </c>
      <c r="M85" s="3"/>
    </row>
    <row r="86" spans="1:13" x14ac:dyDescent="0.3">
      <c r="A86" s="7">
        <v>85</v>
      </c>
      <c r="B86" s="1" t="s">
        <v>26</v>
      </c>
      <c r="C86" s="1" t="s">
        <v>30</v>
      </c>
      <c r="D86" s="1" t="s">
        <v>31</v>
      </c>
      <c r="E86" s="8">
        <v>45142</v>
      </c>
      <c r="F86" s="1">
        <v>7</v>
      </c>
      <c r="G86" s="1">
        <v>888</v>
      </c>
      <c r="H86">
        <f t="shared" si="1"/>
        <v>6216</v>
      </c>
      <c r="I86" s="1">
        <v>1000</v>
      </c>
      <c r="J86" s="1">
        <v>2023</v>
      </c>
      <c r="K86" s="1" t="s">
        <v>34</v>
      </c>
      <c r="L86" s="2" t="s">
        <v>45</v>
      </c>
      <c r="M86" s="3"/>
    </row>
    <row r="87" spans="1:13" x14ac:dyDescent="0.3">
      <c r="A87" s="7">
        <v>86</v>
      </c>
      <c r="B87" s="3" t="s">
        <v>15</v>
      </c>
      <c r="C87" s="3" t="s">
        <v>16</v>
      </c>
      <c r="D87" s="3" t="s">
        <v>36</v>
      </c>
      <c r="E87" s="9">
        <v>44930</v>
      </c>
      <c r="F87" s="3">
        <v>6</v>
      </c>
      <c r="G87" s="3">
        <v>405</v>
      </c>
      <c r="H87">
        <f t="shared" si="1"/>
        <v>2430</v>
      </c>
      <c r="I87" s="3">
        <v>2500</v>
      </c>
      <c r="J87" s="3">
        <v>2023</v>
      </c>
      <c r="K87" s="3" t="s">
        <v>18</v>
      </c>
      <c r="L87" s="4" t="s">
        <v>19</v>
      </c>
      <c r="M87" s="3"/>
    </row>
    <row r="88" spans="1:13" x14ac:dyDescent="0.3">
      <c r="A88" s="7">
        <v>87</v>
      </c>
      <c r="B88" s="1" t="s">
        <v>26</v>
      </c>
      <c r="C88" s="1" t="s">
        <v>30</v>
      </c>
      <c r="D88" s="1" t="s">
        <v>33</v>
      </c>
      <c r="E88" s="8">
        <v>45176</v>
      </c>
      <c r="F88" s="1">
        <v>4</v>
      </c>
      <c r="G88" s="1">
        <v>379</v>
      </c>
      <c r="H88">
        <f t="shared" si="1"/>
        <v>1516</v>
      </c>
      <c r="I88" s="1">
        <v>2500</v>
      </c>
      <c r="J88" s="1">
        <v>2023</v>
      </c>
      <c r="K88" s="1" t="s">
        <v>34</v>
      </c>
      <c r="L88" s="2" t="s">
        <v>47</v>
      </c>
      <c r="M88" s="3"/>
    </row>
    <row r="89" spans="1:13" x14ac:dyDescent="0.3">
      <c r="A89" s="7">
        <v>88</v>
      </c>
      <c r="B89" s="3" t="s">
        <v>15</v>
      </c>
      <c r="C89" s="3" t="s">
        <v>30</v>
      </c>
      <c r="D89" s="3" t="s">
        <v>31</v>
      </c>
      <c r="E89" s="9">
        <v>45099</v>
      </c>
      <c r="F89" s="3">
        <v>7</v>
      </c>
      <c r="G89" s="3">
        <v>841</v>
      </c>
      <c r="H89">
        <f t="shared" si="1"/>
        <v>5887</v>
      </c>
      <c r="I89" s="3">
        <v>1500</v>
      </c>
      <c r="J89" s="3">
        <v>2023</v>
      </c>
      <c r="K89" s="3" t="s">
        <v>13</v>
      </c>
      <c r="L89" s="4" t="s">
        <v>32</v>
      </c>
      <c r="M89" s="3"/>
    </row>
    <row r="90" spans="1:13" x14ac:dyDescent="0.3">
      <c r="A90" s="7">
        <v>89</v>
      </c>
      <c r="B90" s="1" t="s">
        <v>20</v>
      </c>
      <c r="C90" s="1" t="s">
        <v>30</v>
      </c>
      <c r="D90" s="1" t="s">
        <v>31</v>
      </c>
      <c r="E90" s="8">
        <v>45128</v>
      </c>
      <c r="F90" s="1">
        <v>10</v>
      </c>
      <c r="G90" s="1">
        <v>677</v>
      </c>
      <c r="H90">
        <f t="shared" si="1"/>
        <v>6770</v>
      </c>
      <c r="I90" s="1">
        <v>1000</v>
      </c>
      <c r="J90" s="1">
        <v>2023</v>
      </c>
      <c r="K90" s="1" t="s">
        <v>34</v>
      </c>
      <c r="L90" s="2" t="s">
        <v>35</v>
      </c>
      <c r="M90" s="3"/>
    </row>
    <row r="91" spans="1:13" x14ac:dyDescent="0.3">
      <c r="A91" s="7">
        <v>90</v>
      </c>
      <c r="B91" s="3" t="s">
        <v>15</v>
      </c>
      <c r="C91" s="3" t="s">
        <v>11</v>
      </c>
      <c r="D91" s="3" t="s">
        <v>40</v>
      </c>
      <c r="E91" s="9">
        <v>44996</v>
      </c>
      <c r="F91" s="3">
        <v>8</v>
      </c>
      <c r="G91" s="3">
        <v>286</v>
      </c>
      <c r="H91">
        <f t="shared" si="1"/>
        <v>2288</v>
      </c>
      <c r="I91" s="3">
        <v>1000</v>
      </c>
      <c r="J91" s="3">
        <v>2023</v>
      </c>
      <c r="K91" s="3" t="s">
        <v>18</v>
      </c>
      <c r="L91" s="4" t="s">
        <v>44</v>
      </c>
      <c r="M91" s="3"/>
    </row>
    <row r="92" spans="1:13" x14ac:dyDescent="0.3">
      <c r="A92" s="7">
        <v>91</v>
      </c>
      <c r="B92" s="1" t="s">
        <v>10</v>
      </c>
      <c r="C92" s="1" t="s">
        <v>27</v>
      </c>
      <c r="D92" s="1" t="s">
        <v>28</v>
      </c>
      <c r="E92" s="8">
        <v>45035</v>
      </c>
      <c r="F92" s="1">
        <v>8</v>
      </c>
      <c r="G92" s="1">
        <v>434</v>
      </c>
      <c r="H92">
        <f t="shared" si="1"/>
        <v>3472</v>
      </c>
      <c r="I92" s="1">
        <v>2000</v>
      </c>
      <c r="J92" s="1">
        <v>2023</v>
      </c>
      <c r="K92" s="1" t="s">
        <v>13</v>
      </c>
      <c r="L92" s="2" t="s">
        <v>29</v>
      </c>
      <c r="M92" s="3"/>
    </row>
    <row r="93" spans="1:13" x14ac:dyDescent="0.3">
      <c r="A93" s="7">
        <v>92</v>
      </c>
      <c r="B93" s="3" t="s">
        <v>15</v>
      </c>
      <c r="C93" s="3" t="s">
        <v>30</v>
      </c>
      <c r="D93" s="3" t="s">
        <v>41</v>
      </c>
      <c r="E93" s="9">
        <v>45056</v>
      </c>
      <c r="F93" s="3">
        <v>2</v>
      </c>
      <c r="G93" s="3">
        <v>581</v>
      </c>
      <c r="H93">
        <f t="shared" si="1"/>
        <v>1162</v>
      </c>
      <c r="I93" s="3">
        <v>1000</v>
      </c>
      <c r="J93" s="3">
        <v>2023</v>
      </c>
      <c r="K93" s="3" t="s">
        <v>13</v>
      </c>
      <c r="L93" s="4" t="s">
        <v>14</v>
      </c>
      <c r="M93" s="3"/>
    </row>
    <row r="94" spans="1:13" x14ac:dyDescent="0.3">
      <c r="A94" s="7">
        <v>93</v>
      </c>
      <c r="B94" s="1" t="s">
        <v>10</v>
      </c>
      <c r="C94" s="1" t="s">
        <v>16</v>
      </c>
      <c r="D94" s="1" t="s">
        <v>17</v>
      </c>
      <c r="E94" s="8">
        <v>45041</v>
      </c>
      <c r="F94" s="1">
        <v>2</v>
      </c>
      <c r="G94" s="1">
        <v>899</v>
      </c>
      <c r="H94">
        <f t="shared" si="1"/>
        <v>1798</v>
      </c>
      <c r="I94" s="1">
        <v>1000</v>
      </c>
      <c r="J94" s="1">
        <v>2023</v>
      </c>
      <c r="K94" s="1" t="s">
        <v>13</v>
      </c>
      <c r="L94" s="2" t="s">
        <v>29</v>
      </c>
      <c r="M94" s="3"/>
    </row>
    <row r="95" spans="1:13" x14ac:dyDescent="0.3">
      <c r="A95" s="7">
        <v>94</v>
      </c>
      <c r="B95" s="3" t="s">
        <v>26</v>
      </c>
      <c r="C95" s="3" t="s">
        <v>11</v>
      </c>
      <c r="D95" s="3" t="s">
        <v>12</v>
      </c>
      <c r="E95" s="9">
        <v>44937</v>
      </c>
      <c r="F95" s="3">
        <v>10</v>
      </c>
      <c r="G95" s="3">
        <v>256</v>
      </c>
      <c r="H95">
        <f t="shared" si="1"/>
        <v>2560</v>
      </c>
      <c r="I95" s="3">
        <v>1500</v>
      </c>
      <c r="J95" s="3">
        <v>2023</v>
      </c>
      <c r="K95" s="3" t="s">
        <v>18</v>
      </c>
      <c r="L95" s="4" t="s">
        <v>19</v>
      </c>
      <c r="M95" s="3"/>
    </row>
    <row r="96" spans="1:13" x14ac:dyDescent="0.3">
      <c r="A96" s="7">
        <v>95</v>
      </c>
      <c r="B96" s="1" t="s">
        <v>20</v>
      </c>
      <c r="C96" s="1" t="s">
        <v>21</v>
      </c>
      <c r="D96" s="1" t="s">
        <v>25</v>
      </c>
      <c r="E96" s="8">
        <v>45215</v>
      </c>
      <c r="F96" s="1">
        <v>4</v>
      </c>
      <c r="G96" s="1">
        <v>576</v>
      </c>
      <c r="H96">
        <f t="shared" si="1"/>
        <v>2304</v>
      </c>
      <c r="I96" s="1">
        <v>2000</v>
      </c>
      <c r="J96" s="1">
        <v>2023</v>
      </c>
      <c r="K96" s="1" t="s">
        <v>23</v>
      </c>
      <c r="L96" s="2" t="s">
        <v>24</v>
      </c>
      <c r="M96" s="3"/>
    </row>
    <row r="97" spans="1:13" x14ac:dyDescent="0.3">
      <c r="A97" s="7">
        <v>96</v>
      </c>
      <c r="B97" s="3" t="s">
        <v>20</v>
      </c>
      <c r="C97" s="3" t="s">
        <v>27</v>
      </c>
      <c r="D97" s="3" t="s">
        <v>38</v>
      </c>
      <c r="E97" s="9">
        <v>45010</v>
      </c>
      <c r="F97" s="3">
        <v>5</v>
      </c>
      <c r="G97" s="3">
        <v>210</v>
      </c>
      <c r="H97">
        <f t="shared" si="1"/>
        <v>1050</v>
      </c>
      <c r="I97" s="3">
        <v>1000</v>
      </c>
      <c r="J97" s="3">
        <v>2023</v>
      </c>
      <c r="K97" s="3" t="s">
        <v>18</v>
      </c>
      <c r="L97" s="4" t="s">
        <v>44</v>
      </c>
      <c r="M97" s="3"/>
    </row>
    <row r="98" spans="1:13" x14ac:dyDescent="0.3">
      <c r="A98" s="7">
        <v>97</v>
      </c>
      <c r="B98" s="1" t="s">
        <v>15</v>
      </c>
      <c r="C98" s="1" t="s">
        <v>27</v>
      </c>
      <c r="D98" s="1" t="s">
        <v>46</v>
      </c>
      <c r="E98" s="8">
        <v>45130</v>
      </c>
      <c r="F98" s="1">
        <v>4</v>
      </c>
      <c r="G98" s="1">
        <v>177</v>
      </c>
      <c r="H98">
        <f t="shared" si="1"/>
        <v>708</v>
      </c>
      <c r="I98" s="1">
        <v>1500</v>
      </c>
      <c r="J98" s="1">
        <v>2023</v>
      </c>
      <c r="K98" s="1" t="s">
        <v>34</v>
      </c>
      <c r="L98" s="2" t="s">
        <v>35</v>
      </c>
      <c r="M98" s="3"/>
    </row>
    <row r="99" spans="1:13" x14ac:dyDescent="0.3">
      <c r="A99" s="7">
        <v>98</v>
      </c>
      <c r="B99" s="3" t="s">
        <v>10</v>
      </c>
      <c r="C99" s="3" t="s">
        <v>11</v>
      </c>
      <c r="D99" s="3" t="s">
        <v>40</v>
      </c>
      <c r="E99" s="9">
        <v>45277</v>
      </c>
      <c r="F99" s="3">
        <v>10</v>
      </c>
      <c r="G99" s="3">
        <v>924</v>
      </c>
      <c r="H99">
        <f t="shared" si="1"/>
        <v>9240</v>
      </c>
      <c r="I99" s="3">
        <v>1000</v>
      </c>
      <c r="J99" s="3">
        <v>2023</v>
      </c>
      <c r="K99" s="3" t="s">
        <v>23</v>
      </c>
      <c r="L99" s="4" t="s">
        <v>37</v>
      </c>
      <c r="M99" s="3"/>
    </row>
    <row r="100" spans="1:13" x14ac:dyDescent="0.3">
      <c r="A100" s="7">
        <v>99</v>
      </c>
      <c r="B100" s="1" t="s">
        <v>10</v>
      </c>
      <c r="C100" s="1" t="s">
        <v>16</v>
      </c>
      <c r="D100" s="1" t="s">
        <v>17</v>
      </c>
      <c r="E100" s="8">
        <v>45199</v>
      </c>
      <c r="F100" s="1">
        <v>7</v>
      </c>
      <c r="G100" s="1">
        <v>777</v>
      </c>
      <c r="H100">
        <f t="shared" si="1"/>
        <v>5439</v>
      </c>
      <c r="I100" s="1">
        <v>2000</v>
      </c>
      <c r="J100" s="1">
        <v>2023</v>
      </c>
      <c r="K100" s="1" t="s">
        <v>34</v>
      </c>
      <c r="L100" s="2" t="s">
        <v>47</v>
      </c>
      <c r="M100" s="3"/>
    </row>
    <row r="101" spans="1:13" x14ac:dyDescent="0.3">
      <c r="A101" s="7">
        <v>100</v>
      </c>
      <c r="B101" s="3" t="s">
        <v>10</v>
      </c>
      <c r="C101" s="3" t="s">
        <v>11</v>
      </c>
      <c r="D101" s="3" t="s">
        <v>40</v>
      </c>
      <c r="E101" s="9">
        <v>44933</v>
      </c>
      <c r="F101" s="3">
        <v>7</v>
      </c>
      <c r="G101" s="3">
        <v>942</v>
      </c>
      <c r="H101">
        <f t="shared" si="1"/>
        <v>6594</v>
      </c>
      <c r="I101" s="3">
        <v>2500</v>
      </c>
      <c r="J101" s="3">
        <v>2023</v>
      </c>
      <c r="K101" s="3" t="s">
        <v>18</v>
      </c>
      <c r="L101" s="4" t="s">
        <v>19</v>
      </c>
      <c r="M101" s="3"/>
    </row>
    <row r="102" spans="1:13" x14ac:dyDescent="0.3">
      <c r="A102" s="7">
        <v>101</v>
      </c>
      <c r="B102" s="1" t="s">
        <v>10</v>
      </c>
      <c r="C102" s="1" t="s">
        <v>11</v>
      </c>
      <c r="D102" s="1" t="s">
        <v>49</v>
      </c>
      <c r="E102" s="8">
        <v>45252</v>
      </c>
      <c r="F102" s="1">
        <v>8</v>
      </c>
      <c r="G102" s="1">
        <v>824</v>
      </c>
      <c r="H102">
        <f t="shared" si="1"/>
        <v>6592</v>
      </c>
      <c r="I102" s="1">
        <v>1500</v>
      </c>
      <c r="J102" s="1">
        <v>2023</v>
      </c>
      <c r="K102" s="1" t="s">
        <v>23</v>
      </c>
      <c r="L102" s="2" t="s">
        <v>48</v>
      </c>
      <c r="M102" s="3"/>
    </row>
    <row r="103" spans="1:13" x14ac:dyDescent="0.3">
      <c r="A103" s="7">
        <v>102</v>
      </c>
      <c r="B103" s="3" t="s">
        <v>10</v>
      </c>
      <c r="C103" s="3" t="s">
        <v>30</v>
      </c>
      <c r="D103" s="3" t="s">
        <v>31</v>
      </c>
      <c r="E103" s="9">
        <v>45242</v>
      </c>
      <c r="F103" s="3">
        <v>9</v>
      </c>
      <c r="G103" s="3">
        <v>893</v>
      </c>
      <c r="H103">
        <f t="shared" si="1"/>
        <v>8037</v>
      </c>
      <c r="I103" s="3">
        <v>2500</v>
      </c>
      <c r="J103" s="3">
        <v>2023</v>
      </c>
      <c r="K103" s="3" t="s">
        <v>23</v>
      </c>
      <c r="L103" s="4" t="s">
        <v>48</v>
      </c>
      <c r="M103" s="3"/>
    </row>
    <row r="104" spans="1:13" x14ac:dyDescent="0.3">
      <c r="A104" s="7">
        <v>103</v>
      </c>
      <c r="B104" s="1" t="s">
        <v>10</v>
      </c>
      <c r="C104" s="1" t="s">
        <v>30</v>
      </c>
      <c r="D104" s="1" t="s">
        <v>41</v>
      </c>
      <c r="E104" s="8">
        <v>45092</v>
      </c>
      <c r="F104" s="1">
        <v>4</v>
      </c>
      <c r="G104" s="1">
        <v>950</v>
      </c>
      <c r="H104">
        <f t="shared" si="1"/>
        <v>3800</v>
      </c>
      <c r="I104" s="1">
        <v>1000</v>
      </c>
      <c r="J104" s="1">
        <v>2023</v>
      </c>
      <c r="K104" s="1" t="s">
        <v>13</v>
      </c>
      <c r="L104" s="2" t="s">
        <v>32</v>
      </c>
      <c r="M104" s="3"/>
    </row>
    <row r="105" spans="1:13" x14ac:dyDescent="0.3">
      <c r="A105" s="7">
        <v>104</v>
      </c>
      <c r="B105" s="3" t="s">
        <v>26</v>
      </c>
      <c r="C105" s="3" t="s">
        <v>27</v>
      </c>
      <c r="D105" s="3" t="s">
        <v>28</v>
      </c>
      <c r="E105" s="9">
        <v>45164</v>
      </c>
      <c r="F105" s="3">
        <v>10</v>
      </c>
      <c r="G105" s="3">
        <v>724</v>
      </c>
      <c r="H105">
        <f t="shared" si="1"/>
        <v>7240</v>
      </c>
      <c r="I105" s="3">
        <v>2500</v>
      </c>
      <c r="J105" s="3">
        <v>2023</v>
      </c>
      <c r="K105" s="3" t="s">
        <v>34</v>
      </c>
      <c r="L105" s="4" t="s">
        <v>45</v>
      </c>
      <c r="M105" s="3"/>
    </row>
    <row r="106" spans="1:13" x14ac:dyDescent="0.3">
      <c r="A106" s="7">
        <v>105</v>
      </c>
      <c r="B106" s="1" t="s">
        <v>15</v>
      </c>
      <c r="C106" s="1" t="s">
        <v>27</v>
      </c>
      <c r="D106" s="1" t="s">
        <v>38</v>
      </c>
      <c r="E106" s="8">
        <v>45093</v>
      </c>
      <c r="F106" s="1">
        <v>3</v>
      </c>
      <c r="G106" s="1">
        <v>599</v>
      </c>
      <c r="H106">
        <f t="shared" si="1"/>
        <v>1797</v>
      </c>
      <c r="I106" s="1">
        <v>1500</v>
      </c>
      <c r="J106" s="1">
        <v>2023</v>
      </c>
      <c r="K106" s="1" t="s">
        <v>13</v>
      </c>
      <c r="L106" s="2" t="s">
        <v>32</v>
      </c>
      <c r="M106" s="3"/>
    </row>
    <row r="107" spans="1:13" x14ac:dyDescent="0.3">
      <c r="A107" s="7">
        <v>106</v>
      </c>
      <c r="B107" s="3" t="s">
        <v>10</v>
      </c>
      <c r="C107" s="3" t="s">
        <v>27</v>
      </c>
      <c r="D107" s="3" t="s">
        <v>28</v>
      </c>
      <c r="E107" s="9">
        <v>45070</v>
      </c>
      <c r="F107" s="3">
        <v>10</v>
      </c>
      <c r="G107" s="3">
        <v>818</v>
      </c>
      <c r="H107">
        <f t="shared" si="1"/>
        <v>8180</v>
      </c>
      <c r="I107" s="3">
        <v>2000</v>
      </c>
      <c r="J107" s="3">
        <v>2023</v>
      </c>
      <c r="K107" s="3" t="s">
        <v>13</v>
      </c>
      <c r="L107" s="4" t="s">
        <v>14</v>
      </c>
      <c r="M107" s="3"/>
    </row>
    <row r="108" spans="1:13" x14ac:dyDescent="0.3">
      <c r="A108" s="7">
        <v>107</v>
      </c>
      <c r="B108" s="1" t="s">
        <v>26</v>
      </c>
      <c r="C108" s="1" t="s">
        <v>16</v>
      </c>
      <c r="D108" s="1" t="s">
        <v>17</v>
      </c>
      <c r="E108" s="8">
        <v>44970</v>
      </c>
      <c r="F108" s="1">
        <v>4</v>
      </c>
      <c r="G108" s="1">
        <v>837</v>
      </c>
      <c r="H108">
        <f t="shared" si="1"/>
        <v>3348</v>
      </c>
      <c r="I108" s="1">
        <v>2500</v>
      </c>
      <c r="J108" s="1">
        <v>2023</v>
      </c>
      <c r="K108" s="1" t="s">
        <v>18</v>
      </c>
      <c r="L108" s="2" t="s">
        <v>39</v>
      </c>
      <c r="M108" s="3"/>
    </row>
    <row r="109" spans="1:13" x14ac:dyDescent="0.3">
      <c r="A109" s="7">
        <v>108</v>
      </c>
      <c r="B109" s="3" t="s">
        <v>26</v>
      </c>
      <c r="C109" s="3" t="s">
        <v>30</v>
      </c>
      <c r="D109" s="3" t="s">
        <v>33</v>
      </c>
      <c r="E109" s="9">
        <v>45280</v>
      </c>
      <c r="F109" s="3">
        <v>8</v>
      </c>
      <c r="G109" s="3">
        <v>761</v>
      </c>
      <c r="H109">
        <f t="shared" si="1"/>
        <v>6088</v>
      </c>
      <c r="I109" s="3">
        <v>2500</v>
      </c>
      <c r="J109" s="3">
        <v>2023</v>
      </c>
      <c r="K109" s="3" t="s">
        <v>23</v>
      </c>
      <c r="L109" s="4" t="s">
        <v>37</v>
      </c>
      <c r="M109" s="3"/>
    </row>
    <row r="110" spans="1:13" x14ac:dyDescent="0.3">
      <c r="A110" s="7">
        <v>109</v>
      </c>
      <c r="B110" s="1" t="s">
        <v>20</v>
      </c>
      <c r="C110" s="1" t="s">
        <v>30</v>
      </c>
      <c r="D110" s="1" t="s">
        <v>31</v>
      </c>
      <c r="E110" s="8">
        <v>45077</v>
      </c>
      <c r="F110" s="1">
        <v>4</v>
      </c>
      <c r="G110" s="1">
        <v>514</v>
      </c>
      <c r="H110">
        <f t="shared" si="1"/>
        <v>2056</v>
      </c>
      <c r="I110" s="1">
        <v>1500</v>
      </c>
      <c r="J110" s="1">
        <v>2023</v>
      </c>
      <c r="K110" s="1" t="s">
        <v>13</v>
      </c>
      <c r="L110" s="2" t="s">
        <v>14</v>
      </c>
      <c r="M110" s="3"/>
    </row>
    <row r="111" spans="1:13" x14ac:dyDescent="0.3">
      <c r="A111" s="7">
        <v>110</v>
      </c>
      <c r="B111" s="3" t="s">
        <v>10</v>
      </c>
      <c r="C111" s="3" t="s">
        <v>27</v>
      </c>
      <c r="D111" s="3" t="s">
        <v>46</v>
      </c>
      <c r="E111" s="9">
        <v>45169</v>
      </c>
      <c r="F111" s="3">
        <v>9</v>
      </c>
      <c r="G111" s="3">
        <v>643</v>
      </c>
      <c r="H111">
        <f t="shared" si="1"/>
        <v>5787</v>
      </c>
      <c r="I111" s="3">
        <v>2000</v>
      </c>
      <c r="J111" s="3">
        <v>2023</v>
      </c>
      <c r="K111" s="3" t="s">
        <v>34</v>
      </c>
      <c r="L111" s="4" t="s">
        <v>45</v>
      </c>
      <c r="M111" s="3"/>
    </row>
    <row r="112" spans="1:13" x14ac:dyDescent="0.3">
      <c r="A112" s="7">
        <v>111</v>
      </c>
      <c r="B112" s="1" t="s">
        <v>10</v>
      </c>
      <c r="C112" s="1" t="s">
        <v>30</v>
      </c>
      <c r="D112" s="1" t="s">
        <v>33</v>
      </c>
      <c r="E112" s="8">
        <v>45107</v>
      </c>
      <c r="F112" s="1">
        <v>8</v>
      </c>
      <c r="G112" s="1">
        <v>377</v>
      </c>
      <c r="H112">
        <f t="shared" si="1"/>
        <v>3016</v>
      </c>
      <c r="I112" s="1">
        <v>2000</v>
      </c>
      <c r="J112" s="1">
        <v>2023</v>
      </c>
      <c r="K112" s="1" t="s">
        <v>13</v>
      </c>
      <c r="L112" s="2" t="s">
        <v>32</v>
      </c>
      <c r="M112" s="3"/>
    </row>
    <row r="113" spans="1:13" x14ac:dyDescent="0.3">
      <c r="A113" s="7">
        <v>112</v>
      </c>
      <c r="B113" s="3" t="s">
        <v>20</v>
      </c>
      <c r="C113" s="3" t="s">
        <v>27</v>
      </c>
      <c r="D113" s="3" t="s">
        <v>38</v>
      </c>
      <c r="E113" s="9">
        <v>45025</v>
      </c>
      <c r="F113" s="3">
        <v>6</v>
      </c>
      <c r="G113" s="3">
        <v>222</v>
      </c>
      <c r="H113">
        <f t="shared" si="1"/>
        <v>1332</v>
      </c>
      <c r="I113" s="3">
        <v>1500</v>
      </c>
      <c r="J113" s="3">
        <v>2023</v>
      </c>
      <c r="K113" s="3" t="s">
        <v>13</v>
      </c>
      <c r="L113" s="4" t="s">
        <v>29</v>
      </c>
      <c r="M113" s="3"/>
    </row>
    <row r="114" spans="1:13" x14ac:dyDescent="0.3">
      <c r="A114" s="7">
        <v>113</v>
      </c>
      <c r="B114" s="1" t="s">
        <v>15</v>
      </c>
      <c r="C114" s="1" t="s">
        <v>21</v>
      </c>
      <c r="D114" s="1" t="s">
        <v>42</v>
      </c>
      <c r="E114" s="8">
        <v>45068</v>
      </c>
      <c r="F114" s="1">
        <v>10</v>
      </c>
      <c r="G114" s="1">
        <v>878</v>
      </c>
      <c r="H114">
        <f t="shared" si="1"/>
        <v>8780</v>
      </c>
      <c r="I114" s="1">
        <v>2000</v>
      </c>
      <c r="J114" s="1">
        <v>2023</v>
      </c>
      <c r="K114" s="1" t="s">
        <v>13</v>
      </c>
      <c r="L114" s="2" t="s">
        <v>14</v>
      </c>
      <c r="M114" s="3"/>
    </row>
    <row r="115" spans="1:13" x14ac:dyDescent="0.3">
      <c r="A115" s="7">
        <v>114</v>
      </c>
      <c r="B115" s="3" t="s">
        <v>10</v>
      </c>
      <c r="C115" s="3" t="s">
        <v>11</v>
      </c>
      <c r="D115" s="3" t="s">
        <v>12</v>
      </c>
      <c r="E115" s="9">
        <v>45043</v>
      </c>
      <c r="F115" s="3">
        <v>6</v>
      </c>
      <c r="G115" s="3">
        <v>283</v>
      </c>
      <c r="H115">
        <f t="shared" si="1"/>
        <v>1698</v>
      </c>
      <c r="I115" s="3">
        <v>2000</v>
      </c>
      <c r="J115" s="3">
        <v>2023</v>
      </c>
      <c r="K115" s="3" t="s">
        <v>13</v>
      </c>
      <c r="L115" s="4" t="s">
        <v>29</v>
      </c>
      <c r="M115" s="3"/>
    </row>
    <row r="116" spans="1:13" x14ac:dyDescent="0.3">
      <c r="A116" s="7">
        <v>115</v>
      </c>
      <c r="B116" s="1" t="s">
        <v>26</v>
      </c>
      <c r="C116" s="1" t="s">
        <v>11</v>
      </c>
      <c r="D116" s="1" t="s">
        <v>40</v>
      </c>
      <c r="E116" s="8">
        <v>45067</v>
      </c>
      <c r="F116" s="1">
        <v>1</v>
      </c>
      <c r="G116" s="1">
        <v>155</v>
      </c>
      <c r="H116">
        <f t="shared" si="1"/>
        <v>155</v>
      </c>
      <c r="I116" s="1">
        <v>2000</v>
      </c>
      <c r="J116" s="1">
        <v>2023</v>
      </c>
      <c r="K116" s="1" t="s">
        <v>13</v>
      </c>
      <c r="L116" s="2" t="s">
        <v>14</v>
      </c>
      <c r="M116" s="3"/>
    </row>
    <row r="117" spans="1:13" x14ac:dyDescent="0.3">
      <c r="A117" s="7">
        <v>116</v>
      </c>
      <c r="B117" s="3" t="s">
        <v>15</v>
      </c>
      <c r="C117" s="3" t="s">
        <v>21</v>
      </c>
      <c r="D117" s="3" t="s">
        <v>22</v>
      </c>
      <c r="E117" s="9">
        <v>44979</v>
      </c>
      <c r="F117" s="3">
        <v>1</v>
      </c>
      <c r="G117" s="3">
        <v>687</v>
      </c>
      <c r="H117">
        <f t="shared" si="1"/>
        <v>687</v>
      </c>
      <c r="I117" s="3">
        <v>2000</v>
      </c>
      <c r="J117" s="3">
        <v>2023</v>
      </c>
      <c r="K117" s="3" t="s">
        <v>18</v>
      </c>
      <c r="L117" s="4" t="s">
        <v>39</v>
      </c>
      <c r="M117" s="3"/>
    </row>
    <row r="118" spans="1:13" x14ac:dyDescent="0.3">
      <c r="A118" s="7">
        <v>117</v>
      </c>
      <c r="B118" s="1" t="s">
        <v>15</v>
      </c>
      <c r="C118" s="1" t="s">
        <v>30</v>
      </c>
      <c r="D118" s="1" t="s">
        <v>41</v>
      </c>
      <c r="E118" s="8">
        <v>45101</v>
      </c>
      <c r="F118" s="1">
        <v>3</v>
      </c>
      <c r="G118" s="1">
        <v>152</v>
      </c>
      <c r="H118">
        <f t="shared" si="1"/>
        <v>456</v>
      </c>
      <c r="I118" s="1">
        <v>2000</v>
      </c>
      <c r="J118" s="1">
        <v>2023</v>
      </c>
      <c r="K118" s="1" t="s">
        <v>13</v>
      </c>
      <c r="L118" s="2" t="s">
        <v>32</v>
      </c>
      <c r="M118" s="3"/>
    </row>
    <row r="119" spans="1:13" x14ac:dyDescent="0.3">
      <c r="A119" s="7">
        <v>118</v>
      </c>
      <c r="B119" s="3" t="s">
        <v>20</v>
      </c>
      <c r="C119" s="3" t="s">
        <v>30</v>
      </c>
      <c r="D119" s="3" t="s">
        <v>31</v>
      </c>
      <c r="E119" s="9">
        <v>45132</v>
      </c>
      <c r="F119" s="3">
        <v>8</v>
      </c>
      <c r="G119" s="3">
        <v>175</v>
      </c>
      <c r="H119">
        <f t="shared" si="1"/>
        <v>1400</v>
      </c>
      <c r="I119" s="3">
        <v>1000</v>
      </c>
      <c r="J119" s="3">
        <v>2023</v>
      </c>
      <c r="K119" s="3" t="s">
        <v>34</v>
      </c>
      <c r="L119" s="4" t="s">
        <v>35</v>
      </c>
      <c r="M119" s="3"/>
    </row>
    <row r="120" spans="1:13" x14ac:dyDescent="0.3">
      <c r="A120" s="7">
        <v>119</v>
      </c>
      <c r="B120" s="1" t="s">
        <v>10</v>
      </c>
      <c r="C120" s="1" t="s">
        <v>21</v>
      </c>
      <c r="D120" s="1" t="s">
        <v>42</v>
      </c>
      <c r="E120" s="8">
        <v>44970</v>
      </c>
      <c r="F120" s="1">
        <v>4</v>
      </c>
      <c r="G120" s="1">
        <v>221</v>
      </c>
      <c r="H120">
        <f t="shared" si="1"/>
        <v>884</v>
      </c>
      <c r="I120" s="1">
        <v>2500</v>
      </c>
      <c r="J120" s="1">
        <v>2023</v>
      </c>
      <c r="K120" s="1" t="s">
        <v>18</v>
      </c>
      <c r="L120" s="2" t="s">
        <v>39</v>
      </c>
      <c r="M120" s="3"/>
    </row>
    <row r="121" spans="1:13" x14ac:dyDescent="0.3">
      <c r="A121" s="7">
        <v>120</v>
      </c>
      <c r="B121" s="3" t="s">
        <v>26</v>
      </c>
      <c r="C121" s="3" t="s">
        <v>16</v>
      </c>
      <c r="D121" s="3" t="s">
        <v>43</v>
      </c>
      <c r="E121" s="9">
        <v>45194</v>
      </c>
      <c r="F121" s="3">
        <v>7</v>
      </c>
      <c r="G121" s="3">
        <v>561</v>
      </c>
      <c r="H121">
        <f t="shared" si="1"/>
        <v>3927</v>
      </c>
      <c r="I121" s="3">
        <v>2500</v>
      </c>
      <c r="J121" s="3">
        <v>2023</v>
      </c>
      <c r="K121" s="3" t="s">
        <v>34</v>
      </c>
      <c r="L121" s="4" t="s">
        <v>47</v>
      </c>
      <c r="M121" s="3"/>
    </row>
    <row r="122" spans="1:13" x14ac:dyDescent="0.3">
      <c r="A122" s="7">
        <v>121</v>
      </c>
      <c r="B122" s="1" t="s">
        <v>15</v>
      </c>
      <c r="C122" s="1" t="s">
        <v>27</v>
      </c>
      <c r="D122" s="1" t="s">
        <v>46</v>
      </c>
      <c r="E122" s="8">
        <v>45083</v>
      </c>
      <c r="F122" s="1">
        <v>10</v>
      </c>
      <c r="G122" s="1">
        <v>735</v>
      </c>
      <c r="H122">
        <f t="shared" si="1"/>
        <v>7350</v>
      </c>
      <c r="I122" s="1">
        <v>1000</v>
      </c>
      <c r="J122" s="1">
        <v>2023</v>
      </c>
      <c r="K122" s="1" t="s">
        <v>13</v>
      </c>
      <c r="L122" s="2" t="s">
        <v>32</v>
      </c>
      <c r="M122" s="3"/>
    </row>
    <row r="123" spans="1:13" x14ac:dyDescent="0.3">
      <c r="A123" s="7">
        <v>122</v>
      </c>
      <c r="B123" s="3" t="s">
        <v>20</v>
      </c>
      <c r="C123" s="3" t="s">
        <v>16</v>
      </c>
      <c r="D123" s="3" t="s">
        <v>43</v>
      </c>
      <c r="E123" s="9">
        <v>45033</v>
      </c>
      <c r="F123" s="3">
        <v>4</v>
      </c>
      <c r="G123" s="3">
        <v>370</v>
      </c>
      <c r="H123">
        <f t="shared" si="1"/>
        <v>1480</v>
      </c>
      <c r="I123" s="3">
        <v>1000</v>
      </c>
      <c r="J123" s="3">
        <v>2023</v>
      </c>
      <c r="K123" s="3" t="s">
        <v>13</v>
      </c>
      <c r="L123" s="4" t="s">
        <v>29</v>
      </c>
      <c r="M123" s="3"/>
    </row>
    <row r="124" spans="1:13" x14ac:dyDescent="0.3">
      <c r="A124" s="7">
        <v>123</v>
      </c>
      <c r="B124" s="1" t="s">
        <v>26</v>
      </c>
      <c r="C124" s="1" t="s">
        <v>21</v>
      </c>
      <c r="D124" s="1" t="s">
        <v>42</v>
      </c>
      <c r="E124" s="8">
        <v>45209</v>
      </c>
      <c r="F124" s="1">
        <v>2</v>
      </c>
      <c r="G124" s="1">
        <v>260</v>
      </c>
      <c r="H124">
        <f t="shared" si="1"/>
        <v>520</v>
      </c>
      <c r="I124" s="1">
        <v>1000</v>
      </c>
      <c r="J124" s="1">
        <v>2023</v>
      </c>
      <c r="K124" s="1" t="s">
        <v>23</v>
      </c>
      <c r="L124" s="2" t="s">
        <v>24</v>
      </c>
      <c r="M124" s="3"/>
    </row>
    <row r="125" spans="1:13" x14ac:dyDescent="0.3">
      <c r="A125" s="7">
        <v>124</v>
      </c>
      <c r="B125" s="3" t="s">
        <v>15</v>
      </c>
      <c r="C125" s="3" t="s">
        <v>30</v>
      </c>
      <c r="D125" s="3" t="s">
        <v>41</v>
      </c>
      <c r="E125" s="9">
        <v>45076</v>
      </c>
      <c r="F125" s="3">
        <v>1</v>
      </c>
      <c r="G125" s="3">
        <v>337</v>
      </c>
      <c r="H125">
        <f t="shared" si="1"/>
        <v>337</v>
      </c>
      <c r="I125" s="3">
        <v>2000</v>
      </c>
      <c r="J125" s="3">
        <v>2023</v>
      </c>
      <c r="K125" s="3" t="s">
        <v>13</v>
      </c>
      <c r="L125" s="4" t="s">
        <v>14</v>
      </c>
      <c r="M125" s="3"/>
    </row>
    <row r="126" spans="1:13" x14ac:dyDescent="0.3">
      <c r="A126" s="7">
        <v>125</v>
      </c>
      <c r="B126" s="1" t="s">
        <v>15</v>
      </c>
      <c r="C126" s="1" t="s">
        <v>27</v>
      </c>
      <c r="D126" s="1" t="s">
        <v>46</v>
      </c>
      <c r="E126" s="8">
        <v>44963</v>
      </c>
      <c r="F126" s="1">
        <v>4</v>
      </c>
      <c r="G126" s="1">
        <v>370</v>
      </c>
      <c r="H126">
        <f t="shared" si="1"/>
        <v>1480</v>
      </c>
      <c r="I126" s="1">
        <v>1500</v>
      </c>
      <c r="J126" s="1">
        <v>2023</v>
      </c>
      <c r="K126" s="1" t="s">
        <v>18</v>
      </c>
      <c r="L126" s="2" t="s">
        <v>39</v>
      </c>
      <c r="M126" s="3"/>
    </row>
    <row r="127" spans="1:13" x14ac:dyDescent="0.3">
      <c r="A127" s="7">
        <v>126</v>
      </c>
      <c r="B127" s="3" t="s">
        <v>26</v>
      </c>
      <c r="C127" s="3" t="s">
        <v>30</v>
      </c>
      <c r="D127" s="3" t="s">
        <v>31</v>
      </c>
      <c r="E127" s="9">
        <v>45258</v>
      </c>
      <c r="F127" s="3">
        <v>3</v>
      </c>
      <c r="G127" s="3">
        <v>372</v>
      </c>
      <c r="H127">
        <f t="shared" si="1"/>
        <v>1116</v>
      </c>
      <c r="I127" s="3">
        <v>1500</v>
      </c>
      <c r="J127" s="3">
        <v>2023</v>
      </c>
      <c r="K127" s="3" t="s">
        <v>23</v>
      </c>
      <c r="L127" s="4" t="s">
        <v>48</v>
      </c>
      <c r="M127" s="3"/>
    </row>
    <row r="128" spans="1:13" x14ac:dyDescent="0.3">
      <c r="A128" s="7">
        <v>127</v>
      </c>
      <c r="B128" s="1" t="s">
        <v>26</v>
      </c>
      <c r="C128" s="1" t="s">
        <v>11</v>
      </c>
      <c r="D128" s="1" t="s">
        <v>12</v>
      </c>
      <c r="E128" s="8">
        <v>45084</v>
      </c>
      <c r="F128" s="1">
        <v>10</v>
      </c>
      <c r="G128" s="1">
        <v>866</v>
      </c>
      <c r="H128">
        <f t="shared" si="1"/>
        <v>8660</v>
      </c>
      <c r="I128" s="1">
        <v>2000</v>
      </c>
      <c r="J128" s="1">
        <v>2023</v>
      </c>
      <c r="K128" s="1" t="s">
        <v>13</v>
      </c>
      <c r="L128" s="2" t="s">
        <v>32</v>
      </c>
      <c r="M128" s="3"/>
    </row>
    <row r="129" spans="1:13" x14ac:dyDescent="0.3">
      <c r="A129" s="7">
        <v>128</v>
      </c>
      <c r="B129" s="3" t="s">
        <v>15</v>
      </c>
      <c r="C129" s="3" t="s">
        <v>30</v>
      </c>
      <c r="D129" s="3" t="s">
        <v>31</v>
      </c>
      <c r="E129" s="9">
        <v>45279</v>
      </c>
      <c r="F129" s="3">
        <v>5</v>
      </c>
      <c r="G129" s="3">
        <v>816</v>
      </c>
      <c r="H129">
        <f t="shared" si="1"/>
        <v>4080</v>
      </c>
      <c r="I129" s="3">
        <v>2500</v>
      </c>
      <c r="J129" s="3">
        <v>2023</v>
      </c>
      <c r="K129" s="3" t="s">
        <v>23</v>
      </c>
      <c r="L129" s="4" t="s">
        <v>37</v>
      </c>
      <c r="M129" s="3"/>
    </row>
    <row r="130" spans="1:13" x14ac:dyDescent="0.3">
      <c r="A130" s="7">
        <v>129</v>
      </c>
      <c r="B130" s="1" t="s">
        <v>15</v>
      </c>
      <c r="C130" s="1" t="s">
        <v>27</v>
      </c>
      <c r="D130" s="1" t="s">
        <v>46</v>
      </c>
      <c r="E130" s="8">
        <v>45151</v>
      </c>
      <c r="F130" s="1">
        <v>2</v>
      </c>
      <c r="G130" s="1">
        <v>712</v>
      </c>
      <c r="H130">
        <f t="shared" si="1"/>
        <v>1424</v>
      </c>
      <c r="I130" s="1">
        <v>1000</v>
      </c>
      <c r="J130" s="1">
        <v>2023</v>
      </c>
      <c r="K130" s="1" t="s">
        <v>34</v>
      </c>
      <c r="L130" s="2" t="s">
        <v>45</v>
      </c>
      <c r="M130" s="3"/>
    </row>
    <row r="131" spans="1:13" x14ac:dyDescent="0.3">
      <c r="A131" s="7">
        <v>130</v>
      </c>
      <c r="B131" s="3" t="s">
        <v>10</v>
      </c>
      <c r="C131" s="3" t="s">
        <v>30</v>
      </c>
      <c r="D131" s="3" t="s">
        <v>33</v>
      </c>
      <c r="E131" s="9">
        <v>45236</v>
      </c>
      <c r="F131" s="3">
        <v>5</v>
      </c>
      <c r="G131" s="3">
        <v>126</v>
      </c>
      <c r="H131">
        <f t="shared" ref="H131:H194" si="2">F131*G131</f>
        <v>630</v>
      </c>
      <c r="I131" s="3">
        <v>1000</v>
      </c>
      <c r="J131" s="3">
        <v>2023</v>
      </c>
      <c r="K131" s="3" t="s">
        <v>23</v>
      </c>
      <c r="L131" s="4" t="s">
        <v>48</v>
      </c>
      <c r="M131" s="3"/>
    </row>
    <row r="132" spans="1:13" x14ac:dyDescent="0.3">
      <c r="A132" s="7">
        <v>131</v>
      </c>
      <c r="B132" s="1" t="s">
        <v>20</v>
      </c>
      <c r="C132" s="1" t="s">
        <v>21</v>
      </c>
      <c r="D132" s="1" t="s">
        <v>22</v>
      </c>
      <c r="E132" s="8">
        <v>45271</v>
      </c>
      <c r="F132" s="1">
        <v>5</v>
      </c>
      <c r="G132" s="1">
        <v>690</v>
      </c>
      <c r="H132">
        <f t="shared" si="2"/>
        <v>3450</v>
      </c>
      <c r="I132" s="1">
        <v>1000</v>
      </c>
      <c r="J132" s="1">
        <v>2023</v>
      </c>
      <c r="K132" s="1" t="s">
        <v>23</v>
      </c>
      <c r="L132" s="2" t="s">
        <v>37</v>
      </c>
      <c r="M132" s="3"/>
    </row>
    <row r="133" spans="1:13" x14ac:dyDescent="0.3">
      <c r="A133" s="7">
        <v>132</v>
      </c>
      <c r="B133" s="3" t="s">
        <v>15</v>
      </c>
      <c r="C133" s="3" t="s">
        <v>21</v>
      </c>
      <c r="D133" s="3" t="s">
        <v>25</v>
      </c>
      <c r="E133" s="9">
        <v>45069</v>
      </c>
      <c r="F133" s="3">
        <v>3</v>
      </c>
      <c r="G133" s="3">
        <v>699</v>
      </c>
      <c r="H133">
        <f t="shared" si="2"/>
        <v>2097</v>
      </c>
      <c r="I133" s="3">
        <v>2500</v>
      </c>
      <c r="J133" s="3">
        <v>2023</v>
      </c>
      <c r="K133" s="3" t="s">
        <v>13</v>
      </c>
      <c r="L133" s="4" t="s">
        <v>14</v>
      </c>
      <c r="M133" s="3"/>
    </row>
    <row r="134" spans="1:13" x14ac:dyDescent="0.3">
      <c r="A134" s="7">
        <v>133</v>
      </c>
      <c r="B134" s="1" t="s">
        <v>15</v>
      </c>
      <c r="C134" s="1" t="s">
        <v>30</v>
      </c>
      <c r="D134" s="1" t="s">
        <v>31</v>
      </c>
      <c r="E134" s="8">
        <v>45105</v>
      </c>
      <c r="F134" s="1">
        <v>7</v>
      </c>
      <c r="G134" s="1">
        <v>441</v>
      </c>
      <c r="H134">
        <f t="shared" si="2"/>
        <v>3087</v>
      </c>
      <c r="I134" s="1">
        <v>2000</v>
      </c>
      <c r="J134" s="1">
        <v>2023</v>
      </c>
      <c r="K134" s="1" t="s">
        <v>13</v>
      </c>
      <c r="L134" s="2" t="s">
        <v>32</v>
      </c>
      <c r="M134" s="3"/>
    </row>
    <row r="135" spans="1:13" x14ac:dyDescent="0.3">
      <c r="A135" s="7">
        <v>134</v>
      </c>
      <c r="B135" s="3" t="s">
        <v>10</v>
      </c>
      <c r="C135" s="3" t="s">
        <v>11</v>
      </c>
      <c r="D135" s="3" t="s">
        <v>12</v>
      </c>
      <c r="E135" s="9">
        <v>45137</v>
      </c>
      <c r="F135" s="3">
        <v>8</v>
      </c>
      <c r="G135" s="3">
        <v>395</v>
      </c>
      <c r="H135">
        <f t="shared" si="2"/>
        <v>3160</v>
      </c>
      <c r="I135" s="3">
        <v>2500</v>
      </c>
      <c r="J135" s="3">
        <v>2023</v>
      </c>
      <c r="K135" s="3" t="s">
        <v>34</v>
      </c>
      <c r="L135" s="4" t="s">
        <v>35</v>
      </c>
      <c r="M135" s="3"/>
    </row>
    <row r="136" spans="1:13" x14ac:dyDescent="0.3">
      <c r="A136" s="7">
        <v>135</v>
      </c>
      <c r="B136" s="1" t="s">
        <v>15</v>
      </c>
      <c r="C136" s="1" t="s">
        <v>16</v>
      </c>
      <c r="D136" s="1" t="s">
        <v>17</v>
      </c>
      <c r="E136" s="8">
        <v>44972</v>
      </c>
      <c r="F136" s="1">
        <v>6</v>
      </c>
      <c r="G136" s="1">
        <v>358</v>
      </c>
      <c r="H136">
        <f t="shared" si="2"/>
        <v>2148</v>
      </c>
      <c r="I136" s="1">
        <v>2000</v>
      </c>
      <c r="J136" s="1">
        <v>2023</v>
      </c>
      <c r="K136" s="1" t="s">
        <v>18</v>
      </c>
      <c r="L136" s="2" t="s">
        <v>39</v>
      </c>
      <c r="M136" s="3"/>
    </row>
    <row r="137" spans="1:13" x14ac:dyDescent="0.3">
      <c r="A137" s="7">
        <v>136</v>
      </c>
      <c r="B137" s="3" t="s">
        <v>20</v>
      </c>
      <c r="C137" s="3" t="s">
        <v>11</v>
      </c>
      <c r="D137" s="3" t="s">
        <v>49</v>
      </c>
      <c r="E137" s="9">
        <v>45263</v>
      </c>
      <c r="F137" s="3">
        <v>9</v>
      </c>
      <c r="G137" s="3">
        <v>573</v>
      </c>
      <c r="H137">
        <f t="shared" si="2"/>
        <v>5157</v>
      </c>
      <c r="I137" s="3">
        <v>2500</v>
      </c>
      <c r="J137" s="3">
        <v>2023</v>
      </c>
      <c r="K137" s="3" t="s">
        <v>23</v>
      </c>
      <c r="L137" s="4" t="s">
        <v>37</v>
      </c>
      <c r="M137" s="3"/>
    </row>
    <row r="138" spans="1:13" x14ac:dyDescent="0.3">
      <c r="A138" s="7">
        <v>137</v>
      </c>
      <c r="B138" s="1" t="s">
        <v>10</v>
      </c>
      <c r="C138" s="1" t="s">
        <v>11</v>
      </c>
      <c r="D138" s="1" t="s">
        <v>12</v>
      </c>
      <c r="E138" s="8">
        <v>45245</v>
      </c>
      <c r="F138" s="1">
        <v>8</v>
      </c>
      <c r="G138" s="1">
        <v>740</v>
      </c>
      <c r="H138">
        <f t="shared" si="2"/>
        <v>5920</v>
      </c>
      <c r="I138" s="1">
        <v>2500</v>
      </c>
      <c r="J138" s="1">
        <v>2023</v>
      </c>
      <c r="K138" s="1" t="s">
        <v>23</v>
      </c>
      <c r="L138" s="2" t="s">
        <v>48</v>
      </c>
      <c r="M138" s="3"/>
    </row>
    <row r="139" spans="1:13" x14ac:dyDescent="0.3">
      <c r="A139" s="7">
        <v>138</v>
      </c>
      <c r="B139" s="3" t="s">
        <v>10</v>
      </c>
      <c r="C139" s="3" t="s">
        <v>11</v>
      </c>
      <c r="D139" s="3" t="s">
        <v>12</v>
      </c>
      <c r="E139" s="9">
        <v>45208</v>
      </c>
      <c r="F139" s="3">
        <v>3</v>
      </c>
      <c r="G139" s="3">
        <v>394</v>
      </c>
      <c r="H139">
        <f t="shared" si="2"/>
        <v>1182</v>
      </c>
      <c r="I139" s="3">
        <v>2500</v>
      </c>
      <c r="J139" s="3">
        <v>2023</v>
      </c>
      <c r="K139" s="3" t="s">
        <v>23</v>
      </c>
      <c r="L139" s="4" t="s">
        <v>24</v>
      </c>
      <c r="M139" s="3"/>
    </row>
    <row r="140" spans="1:13" x14ac:dyDescent="0.3">
      <c r="A140" s="7">
        <v>139</v>
      </c>
      <c r="B140" s="1" t="s">
        <v>20</v>
      </c>
      <c r="C140" s="1" t="s">
        <v>30</v>
      </c>
      <c r="D140" s="1" t="s">
        <v>31</v>
      </c>
      <c r="E140" s="8">
        <v>45249</v>
      </c>
      <c r="F140" s="1">
        <v>10</v>
      </c>
      <c r="G140" s="1">
        <v>918</v>
      </c>
      <c r="H140">
        <f t="shared" si="2"/>
        <v>9180</v>
      </c>
      <c r="I140" s="1">
        <v>1500</v>
      </c>
      <c r="J140" s="1">
        <v>2023</v>
      </c>
      <c r="K140" s="1" t="s">
        <v>23</v>
      </c>
      <c r="L140" s="2" t="s">
        <v>48</v>
      </c>
      <c r="M140" s="3"/>
    </row>
    <row r="141" spans="1:13" x14ac:dyDescent="0.3">
      <c r="A141" s="7">
        <v>140</v>
      </c>
      <c r="B141" s="3" t="s">
        <v>20</v>
      </c>
      <c r="C141" s="3" t="s">
        <v>21</v>
      </c>
      <c r="D141" s="3" t="s">
        <v>25</v>
      </c>
      <c r="E141" s="9">
        <v>45209</v>
      </c>
      <c r="F141" s="3">
        <v>7</v>
      </c>
      <c r="G141" s="3">
        <v>195</v>
      </c>
      <c r="H141">
        <f t="shared" si="2"/>
        <v>1365</v>
      </c>
      <c r="I141" s="3">
        <v>1500</v>
      </c>
      <c r="J141" s="3">
        <v>2023</v>
      </c>
      <c r="K141" s="3" t="s">
        <v>23</v>
      </c>
      <c r="L141" s="4" t="s">
        <v>24</v>
      </c>
      <c r="M141" s="3"/>
    </row>
    <row r="142" spans="1:13" x14ac:dyDescent="0.3">
      <c r="A142" s="7">
        <v>141</v>
      </c>
      <c r="B142" s="1" t="s">
        <v>20</v>
      </c>
      <c r="C142" s="1" t="s">
        <v>11</v>
      </c>
      <c r="D142" s="1" t="s">
        <v>49</v>
      </c>
      <c r="E142" s="8">
        <v>45258</v>
      </c>
      <c r="F142" s="1">
        <v>3</v>
      </c>
      <c r="G142" s="1">
        <v>610</v>
      </c>
      <c r="H142">
        <f t="shared" si="2"/>
        <v>1830</v>
      </c>
      <c r="I142" s="1">
        <v>2000</v>
      </c>
      <c r="J142" s="1">
        <v>2023</v>
      </c>
      <c r="K142" s="1" t="s">
        <v>23</v>
      </c>
      <c r="L142" s="2" t="s">
        <v>48</v>
      </c>
      <c r="M142" s="3"/>
    </row>
    <row r="143" spans="1:13" x14ac:dyDescent="0.3">
      <c r="A143" s="7">
        <v>142</v>
      </c>
      <c r="B143" s="3" t="s">
        <v>10</v>
      </c>
      <c r="C143" s="3" t="s">
        <v>16</v>
      </c>
      <c r="D143" s="3" t="s">
        <v>43</v>
      </c>
      <c r="E143" s="9">
        <v>45139</v>
      </c>
      <c r="F143" s="3">
        <v>8</v>
      </c>
      <c r="G143" s="3">
        <v>583</v>
      </c>
      <c r="H143">
        <f t="shared" si="2"/>
        <v>4664</v>
      </c>
      <c r="I143" s="3">
        <v>1500</v>
      </c>
      <c r="J143" s="3">
        <v>2023</v>
      </c>
      <c r="K143" s="3" t="s">
        <v>34</v>
      </c>
      <c r="L143" s="4" t="s">
        <v>45</v>
      </c>
      <c r="M143" s="3"/>
    </row>
    <row r="144" spans="1:13" x14ac:dyDescent="0.3">
      <c r="A144" s="7">
        <v>143</v>
      </c>
      <c r="B144" s="1" t="s">
        <v>26</v>
      </c>
      <c r="C144" s="1" t="s">
        <v>30</v>
      </c>
      <c r="D144" s="1" t="s">
        <v>33</v>
      </c>
      <c r="E144" s="8">
        <v>45123</v>
      </c>
      <c r="F144" s="1">
        <v>4</v>
      </c>
      <c r="G144" s="1">
        <v>713</v>
      </c>
      <c r="H144">
        <f t="shared" si="2"/>
        <v>2852</v>
      </c>
      <c r="I144" s="1">
        <v>1500</v>
      </c>
      <c r="J144" s="1">
        <v>2023</v>
      </c>
      <c r="K144" s="1" t="s">
        <v>34</v>
      </c>
      <c r="L144" s="2" t="s">
        <v>35</v>
      </c>
      <c r="M144" s="3"/>
    </row>
    <row r="145" spans="1:13" x14ac:dyDescent="0.3">
      <c r="A145" s="7">
        <v>144</v>
      </c>
      <c r="B145" s="3" t="s">
        <v>15</v>
      </c>
      <c r="C145" s="3" t="s">
        <v>11</v>
      </c>
      <c r="D145" s="3" t="s">
        <v>49</v>
      </c>
      <c r="E145" s="9">
        <v>45101</v>
      </c>
      <c r="F145" s="3">
        <v>9</v>
      </c>
      <c r="G145" s="3">
        <v>373</v>
      </c>
      <c r="H145">
        <f t="shared" si="2"/>
        <v>3357</v>
      </c>
      <c r="I145" s="3">
        <v>1000</v>
      </c>
      <c r="J145" s="3">
        <v>2023</v>
      </c>
      <c r="K145" s="3" t="s">
        <v>13</v>
      </c>
      <c r="L145" s="4" t="s">
        <v>32</v>
      </c>
      <c r="M145" s="3"/>
    </row>
    <row r="146" spans="1:13" x14ac:dyDescent="0.3">
      <c r="A146" s="7">
        <v>145</v>
      </c>
      <c r="B146" s="1" t="s">
        <v>10</v>
      </c>
      <c r="C146" s="1" t="s">
        <v>27</v>
      </c>
      <c r="D146" s="1" t="s">
        <v>46</v>
      </c>
      <c r="E146" s="8">
        <v>45227</v>
      </c>
      <c r="F146" s="1">
        <v>10</v>
      </c>
      <c r="G146" s="1">
        <v>775</v>
      </c>
      <c r="H146">
        <f t="shared" si="2"/>
        <v>7750</v>
      </c>
      <c r="I146" s="1">
        <v>2500</v>
      </c>
      <c r="J146" s="1">
        <v>2023</v>
      </c>
      <c r="K146" s="1" t="s">
        <v>23</v>
      </c>
      <c r="L146" s="2" t="s">
        <v>24</v>
      </c>
      <c r="M146" s="3"/>
    </row>
    <row r="147" spans="1:13" x14ac:dyDescent="0.3">
      <c r="A147" s="7">
        <v>146</v>
      </c>
      <c r="B147" s="3" t="s">
        <v>15</v>
      </c>
      <c r="C147" s="3" t="s">
        <v>21</v>
      </c>
      <c r="D147" s="3" t="s">
        <v>25</v>
      </c>
      <c r="E147" s="9">
        <v>45103</v>
      </c>
      <c r="F147" s="3">
        <v>6</v>
      </c>
      <c r="G147" s="3">
        <v>665</v>
      </c>
      <c r="H147">
        <f t="shared" si="2"/>
        <v>3990</v>
      </c>
      <c r="I147" s="3">
        <v>2500</v>
      </c>
      <c r="J147" s="3">
        <v>2023</v>
      </c>
      <c r="K147" s="3" t="s">
        <v>13</v>
      </c>
      <c r="L147" s="4" t="s">
        <v>32</v>
      </c>
      <c r="M147" s="3"/>
    </row>
    <row r="148" spans="1:13" x14ac:dyDescent="0.3">
      <c r="A148" s="7">
        <v>147</v>
      </c>
      <c r="B148" s="1" t="s">
        <v>26</v>
      </c>
      <c r="C148" s="1" t="s">
        <v>30</v>
      </c>
      <c r="D148" s="1" t="s">
        <v>41</v>
      </c>
      <c r="E148" s="8">
        <v>45284</v>
      </c>
      <c r="F148" s="1">
        <v>4</v>
      </c>
      <c r="G148" s="1">
        <v>685</v>
      </c>
      <c r="H148">
        <f t="shared" si="2"/>
        <v>2740</v>
      </c>
      <c r="I148" s="1">
        <v>2500</v>
      </c>
      <c r="J148" s="1">
        <v>2023</v>
      </c>
      <c r="K148" s="1" t="s">
        <v>23</v>
      </c>
      <c r="L148" s="2" t="s">
        <v>37</v>
      </c>
      <c r="M148" s="3"/>
    </row>
    <row r="149" spans="1:13" x14ac:dyDescent="0.3">
      <c r="A149" s="7">
        <v>148</v>
      </c>
      <c r="B149" s="3" t="s">
        <v>20</v>
      </c>
      <c r="C149" s="3" t="s">
        <v>21</v>
      </c>
      <c r="D149" s="3" t="s">
        <v>25</v>
      </c>
      <c r="E149" s="9">
        <v>45089</v>
      </c>
      <c r="F149" s="3">
        <v>8</v>
      </c>
      <c r="G149" s="3">
        <v>822</v>
      </c>
      <c r="H149">
        <f t="shared" si="2"/>
        <v>6576</v>
      </c>
      <c r="I149" s="3">
        <v>2500</v>
      </c>
      <c r="J149" s="3">
        <v>2023</v>
      </c>
      <c r="K149" s="3" t="s">
        <v>13</v>
      </c>
      <c r="L149" s="4" t="s">
        <v>32</v>
      </c>
      <c r="M149" s="3"/>
    </row>
    <row r="150" spans="1:13" x14ac:dyDescent="0.3">
      <c r="A150" s="7">
        <v>149</v>
      </c>
      <c r="B150" s="1" t="s">
        <v>26</v>
      </c>
      <c r="C150" s="1" t="s">
        <v>30</v>
      </c>
      <c r="D150" s="1" t="s">
        <v>33</v>
      </c>
      <c r="E150" s="8">
        <v>45180</v>
      </c>
      <c r="F150" s="1">
        <v>1</v>
      </c>
      <c r="G150" s="1">
        <v>229</v>
      </c>
      <c r="H150">
        <f t="shared" si="2"/>
        <v>229</v>
      </c>
      <c r="I150" s="1">
        <v>2000</v>
      </c>
      <c r="J150" s="1">
        <v>2023</v>
      </c>
      <c r="K150" s="1" t="s">
        <v>34</v>
      </c>
      <c r="L150" s="2" t="s">
        <v>47</v>
      </c>
      <c r="M150" s="3"/>
    </row>
    <row r="151" spans="1:13" x14ac:dyDescent="0.3">
      <c r="A151" s="7">
        <v>150</v>
      </c>
      <c r="B151" s="3" t="s">
        <v>20</v>
      </c>
      <c r="C151" s="3" t="s">
        <v>11</v>
      </c>
      <c r="D151" s="3" t="s">
        <v>49</v>
      </c>
      <c r="E151" s="9">
        <v>45196</v>
      </c>
      <c r="F151" s="3">
        <v>8</v>
      </c>
      <c r="G151" s="3">
        <v>115</v>
      </c>
      <c r="H151">
        <f t="shared" si="2"/>
        <v>920</v>
      </c>
      <c r="I151" s="3">
        <v>1500</v>
      </c>
      <c r="J151" s="3">
        <v>2023</v>
      </c>
      <c r="K151" s="3" t="s">
        <v>34</v>
      </c>
      <c r="L151" s="4" t="s">
        <v>47</v>
      </c>
      <c r="M151" s="3"/>
    </row>
    <row r="152" spans="1:13" x14ac:dyDescent="0.3">
      <c r="A152" s="7">
        <v>151</v>
      </c>
      <c r="B152" s="1" t="s">
        <v>26</v>
      </c>
      <c r="C152" s="1" t="s">
        <v>30</v>
      </c>
      <c r="D152" s="1" t="s">
        <v>33</v>
      </c>
      <c r="E152" s="8">
        <v>44965</v>
      </c>
      <c r="F152" s="1">
        <v>8</v>
      </c>
      <c r="G152" s="1">
        <v>900</v>
      </c>
      <c r="H152">
        <f t="shared" si="2"/>
        <v>7200</v>
      </c>
      <c r="I152" s="1">
        <v>2000</v>
      </c>
      <c r="J152" s="1">
        <v>2023</v>
      </c>
      <c r="K152" s="1" t="s">
        <v>18</v>
      </c>
      <c r="L152" s="2" t="s">
        <v>39</v>
      </c>
      <c r="M152" s="3"/>
    </row>
    <row r="153" spans="1:13" x14ac:dyDescent="0.3">
      <c r="A153" s="7">
        <v>152</v>
      </c>
      <c r="B153" s="3" t="s">
        <v>15</v>
      </c>
      <c r="C153" s="3" t="s">
        <v>27</v>
      </c>
      <c r="D153" s="3" t="s">
        <v>46</v>
      </c>
      <c r="E153" s="9">
        <v>45259</v>
      </c>
      <c r="F153" s="3">
        <v>2</v>
      </c>
      <c r="G153" s="3">
        <v>972</v>
      </c>
      <c r="H153">
        <f t="shared" si="2"/>
        <v>1944</v>
      </c>
      <c r="I153" s="3">
        <v>2000</v>
      </c>
      <c r="J153" s="3">
        <v>2023</v>
      </c>
      <c r="K153" s="3" t="s">
        <v>23</v>
      </c>
      <c r="L153" s="4" t="s">
        <v>48</v>
      </c>
      <c r="M153" s="3"/>
    </row>
    <row r="154" spans="1:13" x14ac:dyDescent="0.3">
      <c r="A154" s="7">
        <v>153</v>
      </c>
      <c r="B154" s="1" t="s">
        <v>10</v>
      </c>
      <c r="C154" s="1" t="s">
        <v>16</v>
      </c>
      <c r="D154" s="1" t="s">
        <v>36</v>
      </c>
      <c r="E154" s="8">
        <v>45247</v>
      </c>
      <c r="F154" s="1">
        <v>8</v>
      </c>
      <c r="G154" s="1">
        <v>993</v>
      </c>
      <c r="H154">
        <f t="shared" si="2"/>
        <v>7944</v>
      </c>
      <c r="I154" s="1">
        <v>1000</v>
      </c>
      <c r="J154" s="1">
        <v>2023</v>
      </c>
      <c r="K154" s="1" t="s">
        <v>23</v>
      </c>
      <c r="L154" s="2" t="s">
        <v>48</v>
      </c>
      <c r="M154" s="3"/>
    </row>
    <row r="155" spans="1:13" x14ac:dyDescent="0.3">
      <c r="A155" s="7">
        <v>154</v>
      </c>
      <c r="B155" s="3" t="s">
        <v>26</v>
      </c>
      <c r="C155" s="3" t="s">
        <v>16</v>
      </c>
      <c r="D155" s="3" t="s">
        <v>17</v>
      </c>
      <c r="E155" s="9">
        <v>45250</v>
      </c>
      <c r="F155" s="3">
        <v>5</v>
      </c>
      <c r="G155" s="3">
        <v>332</v>
      </c>
      <c r="H155">
        <f t="shared" si="2"/>
        <v>1660</v>
      </c>
      <c r="I155" s="3">
        <v>1000</v>
      </c>
      <c r="J155" s="3">
        <v>2023</v>
      </c>
      <c r="K155" s="3" t="s">
        <v>23</v>
      </c>
      <c r="L155" s="4" t="s">
        <v>48</v>
      </c>
      <c r="M155" s="3"/>
    </row>
    <row r="156" spans="1:13" x14ac:dyDescent="0.3">
      <c r="A156" s="7">
        <v>155</v>
      </c>
      <c r="B156" s="1" t="s">
        <v>20</v>
      </c>
      <c r="C156" s="1" t="s">
        <v>30</v>
      </c>
      <c r="D156" s="1" t="s">
        <v>31</v>
      </c>
      <c r="E156" s="8">
        <v>45154</v>
      </c>
      <c r="F156" s="1">
        <v>3</v>
      </c>
      <c r="G156" s="1">
        <v>810</v>
      </c>
      <c r="H156">
        <f t="shared" si="2"/>
        <v>2430</v>
      </c>
      <c r="I156" s="1">
        <v>2000</v>
      </c>
      <c r="J156" s="1">
        <v>2023</v>
      </c>
      <c r="K156" s="1" t="s">
        <v>34</v>
      </c>
      <c r="L156" s="2" t="s">
        <v>45</v>
      </c>
      <c r="M156" s="3"/>
    </row>
    <row r="157" spans="1:13" x14ac:dyDescent="0.3">
      <c r="A157" s="7">
        <v>156</v>
      </c>
      <c r="B157" s="3" t="s">
        <v>10</v>
      </c>
      <c r="C157" s="3" t="s">
        <v>11</v>
      </c>
      <c r="D157" s="3" t="s">
        <v>12</v>
      </c>
      <c r="E157" s="9">
        <v>44955</v>
      </c>
      <c r="F157" s="3">
        <v>5</v>
      </c>
      <c r="G157" s="3">
        <v>467</v>
      </c>
      <c r="H157">
        <f t="shared" si="2"/>
        <v>2335</v>
      </c>
      <c r="I157" s="3">
        <v>2000</v>
      </c>
      <c r="J157" s="3">
        <v>2023</v>
      </c>
      <c r="K157" s="3" t="s">
        <v>18</v>
      </c>
      <c r="L157" s="4" t="s">
        <v>19</v>
      </c>
      <c r="M157" s="3"/>
    </row>
    <row r="158" spans="1:13" x14ac:dyDescent="0.3">
      <c r="A158" s="7">
        <v>157</v>
      </c>
      <c r="B158" s="1" t="s">
        <v>26</v>
      </c>
      <c r="C158" s="1" t="s">
        <v>30</v>
      </c>
      <c r="D158" s="1" t="s">
        <v>31</v>
      </c>
      <c r="E158" s="8">
        <v>45198</v>
      </c>
      <c r="F158" s="1">
        <v>7</v>
      </c>
      <c r="G158" s="1">
        <v>679</v>
      </c>
      <c r="H158">
        <f t="shared" si="2"/>
        <v>4753</v>
      </c>
      <c r="I158" s="1">
        <v>1500</v>
      </c>
      <c r="J158" s="1">
        <v>2023</v>
      </c>
      <c r="K158" s="1" t="s">
        <v>34</v>
      </c>
      <c r="L158" s="2" t="s">
        <v>47</v>
      </c>
      <c r="M158" s="3"/>
    </row>
    <row r="159" spans="1:13" x14ac:dyDescent="0.3">
      <c r="A159" s="7">
        <v>158</v>
      </c>
      <c r="B159" s="3" t="s">
        <v>20</v>
      </c>
      <c r="C159" s="3" t="s">
        <v>21</v>
      </c>
      <c r="D159" s="3" t="s">
        <v>42</v>
      </c>
      <c r="E159" s="9">
        <v>45239</v>
      </c>
      <c r="F159" s="3">
        <v>7</v>
      </c>
      <c r="G159" s="3">
        <v>734</v>
      </c>
      <c r="H159">
        <f t="shared" si="2"/>
        <v>5138</v>
      </c>
      <c r="I159" s="3">
        <v>1500</v>
      </c>
      <c r="J159" s="3">
        <v>2023</v>
      </c>
      <c r="K159" s="3" t="s">
        <v>23</v>
      </c>
      <c r="L159" s="4" t="s">
        <v>48</v>
      </c>
      <c r="M159" s="3"/>
    </row>
    <row r="160" spans="1:13" x14ac:dyDescent="0.3">
      <c r="A160" s="7">
        <v>159</v>
      </c>
      <c r="B160" s="1" t="s">
        <v>26</v>
      </c>
      <c r="C160" s="1" t="s">
        <v>30</v>
      </c>
      <c r="D160" s="1" t="s">
        <v>33</v>
      </c>
      <c r="E160" s="8">
        <v>45045</v>
      </c>
      <c r="F160" s="1">
        <v>8</v>
      </c>
      <c r="G160" s="1">
        <v>753</v>
      </c>
      <c r="H160">
        <f t="shared" si="2"/>
        <v>6024</v>
      </c>
      <c r="I160" s="1">
        <v>2000</v>
      </c>
      <c r="J160" s="1">
        <v>2023</v>
      </c>
      <c r="K160" s="1" t="s">
        <v>13</v>
      </c>
      <c r="L160" s="2" t="s">
        <v>29</v>
      </c>
      <c r="M160" s="3"/>
    </row>
    <row r="161" spans="1:13" x14ac:dyDescent="0.3">
      <c r="A161" s="7">
        <v>160</v>
      </c>
      <c r="B161" s="3" t="s">
        <v>20</v>
      </c>
      <c r="C161" s="3" t="s">
        <v>30</v>
      </c>
      <c r="D161" s="3" t="s">
        <v>41</v>
      </c>
      <c r="E161" s="9">
        <v>45165</v>
      </c>
      <c r="F161" s="3">
        <v>5</v>
      </c>
      <c r="G161" s="3">
        <v>793</v>
      </c>
      <c r="H161">
        <f t="shared" si="2"/>
        <v>3965</v>
      </c>
      <c r="I161" s="3">
        <v>1500</v>
      </c>
      <c r="J161" s="3">
        <v>2023</v>
      </c>
      <c r="K161" s="3" t="s">
        <v>34</v>
      </c>
      <c r="L161" s="4" t="s">
        <v>45</v>
      </c>
      <c r="M161" s="3"/>
    </row>
    <row r="162" spans="1:13" x14ac:dyDescent="0.3">
      <c r="A162" s="7">
        <v>161</v>
      </c>
      <c r="B162" s="1" t="s">
        <v>10</v>
      </c>
      <c r="C162" s="1" t="s">
        <v>11</v>
      </c>
      <c r="D162" s="1" t="s">
        <v>49</v>
      </c>
      <c r="E162" s="8">
        <v>45227</v>
      </c>
      <c r="F162" s="1">
        <v>5</v>
      </c>
      <c r="G162" s="1">
        <v>754</v>
      </c>
      <c r="H162">
        <f t="shared" si="2"/>
        <v>3770</v>
      </c>
      <c r="I162" s="1">
        <v>2500</v>
      </c>
      <c r="J162" s="1">
        <v>2023</v>
      </c>
      <c r="K162" s="1" t="s">
        <v>23</v>
      </c>
      <c r="L162" s="2" t="s">
        <v>24</v>
      </c>
      <c r="M162" s="3"/>
    </row>
    <row r="163" spans="1:13" x14ac:dyDescent="0.3">
      <c r="A163" s="7">
        <v>162</v>
      </c>
      <c r="B163" s="3" t="s">
        <v>10</v>
      </c>
      <c r="C163" s="3" t="s">
        <v>27</v>
      </c>
      <c r="D163" s="3" t="s">
        <v>28</v>
      </c>
      <c r="E163" s="9">
        <v>45028</v>
      </c>
      <c r="F163" s="3">
        <v>7</v>
      </c>
      <c r="G163" s="3">
        <v>973</v>
      </c>
      <c r="H163">
        <f t="shared" si="2"/>
        <v>6811</v>
      </c>
      <c r="I163" s="3">
        <v>2500</v>
      </c>
      <c r="J163" s="3">
        <v>2023</v>
      </c>
      <c r="K163" s="3" t="s">
        <v>13</v>
      </c>
      <c r="L163" s="4" t="s">
        <v>29</v>
      </c>
      <c r="M163" s="3"/>
    </row>
    <row r="164" spans="1:13" x14ac:dyDescent="0.3">
      <c r="A164" s="7">
        <v>163</v>
      </c>
      <c r="B164" s="1" t="s">
        <v>15</v>
      </c>
      <c r="C164" s="1" t="s">
        <v>11</v>
      </c>
      <c r="D164" s="1" t="s">
        <v>12</v>
      </c>
      <c r="E164" s="8">
        <v>45219</v>
      </c>
      <c r="F164" s="1">
        <v>6</v>
      </c>
      <c r="G164" s="1">
        <v>688</v>
      </c>
      <c r="H164">
        <f t="shared" si="2"/>
        <v>4128</v>
      </c>
      <c r="I164" s="1">
        <v>2000</v>
      </c>
      <c r="J164" s="1">
        <v>2023</v>
      </c>
      <c r="K164" s="1" t="s">
        <v>23</v>
      </c>
      <c r="L164" s="2" t="s">
        <v>24</v>
      </c>
      <c r="M164" s="3"/>
    </row>
    <row r="165" spans="1:13" x14ac:dyDescent="0.3">
      <c r="A165" s="7">
        <v>164</v>
      </c>
      <c r="B165" s="3" t="s">
        <v>15</v>
      </c>
      <c r="C165" s="3" t="s">
        <v>27</v>
      </c>
      <c r="D165" s="3" t="s">
        <v>38</v>
      </c>
      <c r="E165" s="9">
        <v>45067</v>
      </c>
      <c r="F165" s="3">
        <v>1</v>
      </c>
      <c r="G165" s="3">
        <v>679</v>
      </c>
      <c r="H165">
        <f t="shared" si="2"/>
        <v>679</v>
      </c>
      <c r="I165" s="3">
        <v>1000</v>
      </c>
      <c r="J165" s="3">
        <v>2023</v>
      </c>
      <c r="K165" s="3" t="s">
        <v>13</v>
      </c>
      <c r="L165" s="4" t="s">
        <v>14</v>
      </c>
      <c r="M165" s="3"/>
    </row>
    <row r="166" spans="1:13" x14ac:dyDescent="0.3">
      <c r="A166" s="7">
        <v>165</v>
      </c>
      <c r="B166" s="1" t="s">
        <v>15</v>
      </c>
      <c r="C166" s="1" t="s">
        <v>16</v>
      </c>
      <c r="D166" s="1" t="s">
        <v>43</v>
      </c>
      <c r="E166" s="8">
        <v>45073</v>
      </c>
      <c r="F166" s="1">
        <v>4</v>
      </c>
      <c r="G166" s="1">
        <v>721</v>
      </c>
      <c r="H166">
        <f t="shared" si="2"/>
        <v>2884</v>
      </c>
      <c r="I166" s="1">
        <v>2000</v>
      </c>
      <c r="J166" s="1">
        <v>2023</v>
      </c>
      <c r="K166" s="1" t="s">
        <v>13</v>
      </c>
      <c r="L166" s="2" t="s">
        <v>14</v>
      </c>
      <c r="M166" s="3"/>
    </row>
    <row r="167" spans="1:13" x14ac:dyDescent="0.3">
      <c r="A167" s="7">
        <v>166</v>
      </c>
      <c r="B167" s="3" t="s">
        <v>26</v>
      </c>
      <c r="C167" s="3" t="s">
        <v>21</v>
      </c>
      <c r="D167" s="3" t="s">
        <v>22</v>
      </c>
      <c r="E167" s="9">
        <v>45244</v>
      </c>
      <c r="F167" s="3">
        <v>5</v>
      </c>
      <c r="G167" s="3">
        <v>794</v>
      </c>
      <c r="H167">
        <f t="shared" si="2"/>
        <v>3970</v>
      </c>
      <c r="I167" s="3">
        <v>1500</v>
      </c>
      <c r="J167" s="3">
        <v>2023</v>
      </c>
      <c r="K167" s="3" t="s">
        <v>23</v>
      </c>
      <c r="L167" s="4" t="s">
        <v>48</v>
      </c>
      <c r="M167" s="3"/>
    </row>
    <row r="168" spans="1:13" x14ac:dyDescent="0.3">
      <c r="A168" s="7">
        <v>167</v>
      </c>
      <c r="B168" s="1" t="s">
        <v>20</v>
      </c>
      <c r="C168" s="1" t="s">
        <v>11</v>
      </c>
      <c r="D168" s="1" t="s">
        <v>40</v>
      </c>
      <c r="E168" s="8">
        <v>45085</v>
      </c>
      <c r="F168" s="1">
        <v>8</v>
      </c>
      <c r="G168" s="1">
        <v>134</v>
      </c>
      <c r="H168">
        <f t="shared" si="2"/>
        <v>1072</v>
      </c>
      <c r="I168" s="1">
        <v>2000</v>
      </c>
      <c r="J168" s="1">
        <v>2023</v>
      </c>
      <c r="K168" s="1" t="s">
        <v>13</v>
      </c>
      <c r="L168" s="2" t="s">
        <v>32</v>
      </c>
      <c r="M168" s="3"/>
    </row>
    <row r="169" spans="1:13" x14ac:dyDescent="0.3">
      <c r="A169" s="7">
        <v>168</v>
      </c>
      <c r="B169" s="3" t="s">
        <v>10</v>
      </c>
      <c r="C169" s="3" t="s">
        <v>21</v>
      </c>
      <c r="D169" s="3" t="s">
        <v>42</v>
      </c>
      <c r="E169" s="9">
        <v>45094</v>
      </c>
      <c r="F169" s="3">
        <v>7</v>
      </c>
      <c r="G169" s="3">
        <v>279</v>
      </c>
      <c r="H169">
        <f t="shared" si="2"/>
        <v>1953</v>
      </c>
      <c r="I169" s="3">
        <v>1500</v>
      </c>
      <c r="J169" s="3">
        <v>2023</v>
      </c>
      <c r="K169" s="3" t="s">
        <v>13</v>
      </c>
      <c r="L169" s="4" t="s">
        <v>32</v>
      </c>
      <c r="M169" s="3"/>
    </row>
    <row r="170" spans="1:13" x14ac:dyDescent="0.3">
      <c r="A170" s="7">
        <v>169</v>
      </c>
      <c r="B170" s="1" t="s">
        <v>10</v>
      </c>
      <c r="C170" s="1" t="s">
        <v>21</v>
      </c>
      <c r="D170" s="1" t="s">
        <v>22</v>
      </c>
      <c r="E170" s="8">
        <v>45198</v>
      </c>
      <c r="F170" s="1">
        <v>9</v>
      </c>
      <c r="G170" s="1">
        <v>379</v>
      </c>
      <c r="H170">
        <f t="shared" si="2"/>
        <v>3411</v>
      </c>
      <c r="I170" s="1">
        <v>1500</v>
      </c>
      <c r="J170" s="1">
        <v>2023</v>
      </c>
      <c r="K170" s="1" t="s">
        <v>34</v>
      </c>
      <c r="L170" s="2" t="s">
        <v>47</v>
      </c>
      <c r="M170" s="3"/>
    </row>
    <row r="171" spans="1:13" x14ac:dyDescent="0.3">
      <c r="A171" s="7">
        <v>170</v>
      </c>
      <c r="B171" s="3" t="s">
        <v>10</v>
      </c>
      <c r="C171" s="3" t="s">
        <v>27</v>
      </c>
      <c r="D171" s="3" t="s">
        <v>28</v>
      </c>
      <c r="E171" s="9">
        <v>45100</v>
      </c>
      <c r="F171" s="3">
        <v>2</v>
      </c>
      <c r="G171" s="3">
        <v>579</v>
      </c>
      <c r="H171">
        <f t="shared" si="2"/>
        <v>1158</v>
      </c>
      <c r="I171" s="3">
        <v>1000</v>
      </c>
      <c r="J171" s="3">
        <v>2023</v>
      </c>
      <c r="K171" s="3" t="s">
        <v>13</v>
      </c>
      <c r="L171" s="4" t="s">
        <v>32</v>
      </c>
      <c r="M171" s="3"/>
    </row>
    <row r="172" spans="1:13" x14ac:dyDescent="0.3">
      <c r="A172" s="7">
        <v>171</v>
      </c>
      <c r="B172" s="1" t="s">
        <v>15</v>
      </c>
      <c r="C172" s="1" t="s">
        <v>21</v>
      </c>
      <c r="D172" s="1" t="s">
        <v>42</v>
      </c>
      <c r="E172" s="8">
        <v>45212</v>
      </c>
      <c r="F172" s="1">
        <v>6</v>
      </c>
      <c r="G172" s="1">
        <v>192</v>
      </c>
      <c r="H172">
        <f t="shared" si="2"/>
        <v>1152</v>
      </c>
      <c r="I172" s="1">
        <v>2500</v>
      </c>
      <c r="J172" s="1">
        <v>2023</v>
      </c>
      <c r="K172" s="1" t="s">
        <v>23</v>
      </c>
      <c r="L172" s="2" t="s">
        <v>24</v>
      </c>
      <c r="M172" s="3"/>
    </row>
    <row r="173" spans="1:13" x14ac:dyDescent="0.3">
      <c r="A173" s="7">
        <v>172</v>
      </c>
      <c r="B173" s="3" t="s">
        <v>20</v>
      </c>
      <c r="C173" s="3" t="s">
        <v>11</v>
      </c>
      <c r="D173" s="3" t="s">
        <v>49</v>
      </c>
      <c r="E173" s="9">
        <v>45159</v>
      </c>
      <c r="F173" s="3">
        <v>6</v>
      </c>
      <c r="G173" s="3">
        <v>788</v>
      </c>
      <c r="H173">
        <f t="shared" si="2"/>
        <v>4728</v>
      </c>
      <c r="I173" s="3">
        <v>2000</v>
      </c>
      <c r="J173" s="3">
        <v>2023</v>
      </c>
      <c r="K173" s="3" t="s">
        <v>34</v>
      </c>
      <c r="L173" s="4" t="s">
        <v>45</v>
      </c>
      <c r="M173" s="3"/>
    </row>
    <row r="174" spans="1:13" x14ac:dyDescent="0.3">
      <c r="A174" s="7">
        <v>173</v>
      </c>
      <c r="B174" s="1" t="s">
        <v>10</v>
      </c>
      <c r="C174" s="1" t="s">
        <v>16</v>
      </c>
      <c r="D174" s="1" t="s">
        <v>36</v>
      </c>
      <c r="E174" s="8">
        <v>44982</v>
      </c>
      <c r="F174" s="1">
        <v>4</v>
      </c>
      <c r="G174" s="1">
        <v>582</v>
      </c>
      <c r="H174">
        <f t="shared" si="2"/>
        <v>2328</v>
      </c>
      <c r="I174" s="1">
        <v>1000</v>
      </c>
      <c r="J174" s="1">
        <v>2023</v>
      </c>
      <c r="K174" s="1" t="s">
        <v>18</v>
      </c>
      <c r="L174" s="2" t="s">
        <v>39</v>
      </c>
      <c r="M174" s="3"/>
    </row>
    <row r="175" spans="1:13" x14ac:dyDescent="0.3">
      <c r="A175" s="7">
        <v>174</v>
      </c>
      <c r="B175" s="3" t="s">
        <v>10</v>
      </c>
      <c r="C175" s="3" t="s">
        <v>16</v>
      </c>
      <c r="D175" s="3" t="s">
        <v>43</v>
      </c>
      <c r="E175" s="9">
        <v>45239</v>
      </c>
      <c r="F175" s="3">
        <v>4</v>
      </c>
      <c r="G175" s="3">
        <v>763</v>
      </c>
      <c r="H175">
        <f t="shared" si="2"/>
        <v>3052</v>
      </c>
      <c r="I175" s="3">
        <v>1000</v>
      </c>
      <c r="J175" s="3">
        <v>2023</v>
      </c>
      <c r="K175" s="3" t="s">
        <v>23</v>
      </c>
      <c r="L175" s="4" t="s">
        <v>48</v>
      </c>
      <c r="M175" s="3"/>
    </row>
    <row r="176" spans="1:13" x14ac:dyDescent="0.3">
      <c r="A176" s="7">
        <v>175</v>
      </c>
      <c r="B176" s="1" t="s">
        <v>10</v>
      </c>
      <c r="C176" s="1" t="s">
        <v>30</v>
      </c>
      <c r="D176" s="1" t="s">
        <v>33</v>
      </c>
      <c r="E176" s="8">
        <v>45259</v>
      </c>
      <c r="F176" s="1">
        <v>7</v>
      </c>
      <c r="G176" s="1">
        <v>219</v>
      </c>
      <c r="H176">
        <f t="shared" si="2"/>
        <v>1533</v>
      </c>
      <c r="I176" s="1">
        <v>1500</v>
      </c>
      <c r="J176" s="1">
        <v>2023</v>
      </c>
      <c r="K176" s="1" t="s">
        <v>23</v>
      </c>
      <c r="L176" s="2" t="s">
        <v>48</v>
      </c>
      <c r="M176" s="3"/>
    </row>
    <row r="177" spans="1:13" x14ac:dyDescent="0.3">
      <c r="A177" s="7">
        <v>176</v>
      </c>
      <c r="B177" s="3" t="s">
        <v>10</v>
      </c>
      <c r="C177" s="3" t="s">
        <v>11</v>
      </c>
      <c r="D177" s="3" t="s">
        <v>12</v>
      </c>
      <c r="E177" s="9">
        <v>45179</v>
      </c>
      <c r="F177" s="3">
        <v>2</v>
      </c>
      <c r="G177" s="3">
        <v>199</v>
      </c>
      <c r="H177">
        <f t="shared" si="2"/>
        <v>398</v>
      </c>
      <c r="I177" s="3">
        <v>1500</v>
      </c>
      <c r="J177" s="3">
        <v>2023</v>
      </c>
      <c r="K177" s="3" t="s">
        <v>34</v>
      </c>
      <c r="L177" s="4" t="s">
        <v>47</v>
      </c>
      <c r="M177" s="3"/>
    </row>
    <row r="178" spans="1:13" x14ac:dyDescent="0.3">
      <c r="A178" s="7">
        <v>177</v>
      </c>
      <c r="B178" s="1" t="s">
        <v>15</v>
      </c>
      <c r="C178" s="1" t="s">
        <v>16</v>
      </c>
      <c r="D178" s="1" t="s">
        <v>17</v>
      </c>
      <c r="E178" s="8">
        <v>45159</v>
      </c>
      <c r="F178" s="1">
        <v>6</v>
      </c>
      <c r="G178" s="1">
        <v>786</v>
      </c>
      <c r="H178">
        <f t="shared" si="2"/>
        <v>4716</v>
      </c>
      <c r="I178" s="1">
        <v>2500</v>
      </c>
      <c r="J178" s="1">
        <v>2023</v>
      </c>
      <c r="K178" s="1" t="s">
        <v>34</v>
      </c>
      <c r="L178" s="2" t="s">
        <v>45</v>
      </c>
      <c r="M178" s="3"/>
    </row>
    <row r="179" spans="1:13" x14ac:dyDescent="0.3">
      <c r="A179" s="7">
        <v>178</v>
      </c>
      <c r="B179" s="3" t="s">
        <v>26</v>
      </c>
      <c r="C179" s="3" t="s">
        <v>16</v>
      </c>
      <c r="D179" s="3" t="s">
        <v>43</v>
      </c>
      <c r="E179" s="9">
        <v>45139</v>
      </c>
      <c r="F179" s="3">
        <v>2</v>
      </c>
      <c r="G179" s="3">
        <v>953</v>
      </c>
      <c r="H179">
        <f t="shared" si="2"/>
        <v>1906</v>
      </c>
      <c r="I179" s="3">
        <v>2500</v>
      </c>
      <c r="J179" s="3">
        <v>2023</v>
      </c>
      <c r="K179" s="3" t="s">
        <v>34</v>
      </c>
      <c r="L179" s="4" t="s">
        <v>45</v>
      </c>
      <c r="M179" s="3"/>
    </row>
    <row r="180" spans="1:13" x14ac:dyDescent="0.3">
      <c r="A180" s="7">
        <v>179</v>
      </c>
      <c r="B180" s="1" t="s">
        <v>10</v>
      </c>
      <c r="C180" s="1" t="s">
        <v>16</v>
      </c>
      <c r="D180" s="1" t="s">
        <v>36</v>
      </c>
      <c r="E180" s="8">
        <v>44943</v>
      </c>
      <c r="F180" s="1">
        <v>6</v>
      </c>
      <c r="G180" s="1">
        <v>322</v>
      </c>
      <c r="H180">
        <f t="shared" si="2"/>
        <v>1932</v>
      </c>
      <c r="I180" s="1">
        <v>2500</v>
      </c>
      <c r="J180" s="1">
        <v>2023</v>
      </c>
      <c r="K180" s="1" t="s">
        <v>18</v>
      </c>
      <c r="L180" s="2" t="s">
        <v>19</v>
      </c>
      <c r="M180" s="3"/>
    </row>
    <row r="181" spans="1:13" x14ac:dyDescent="0.3">
      <c r="A181" s="7">
        <v>180</v>
      </c>
      <c r="B181" s="3" t="s">
        <v>10</v>
      </c>
      <c r="C181" s="3" t="s">
        <v>30</v>
      </c>
      <c r="D181" s="3" t="s">
        <v>31</v>
      </c>
      <c r="E181" s="9">
        <v>44977</v>
      </c>
      <c r="F181" s="3">
        <v>6</v>
      </c>
      <c r="G181" s="3">
        <v>657</v>
      </c>
      <c r="H181">
        <f t="shared" si="2"/>
        <v>3942</v>
      </c>
      <c r="I181" s="3">
        <v>2000</v>
      </c>
      <c r="J181" s="3">
        <v>2023</v>
      </c>
      <c r="K181" s="3" t="s">
        <v>18</v>
      </c>
      <c r="L181" s="4" t="s">
        <v>39</v>
      </c>
      <c r="M181" s="3"/>
    </row>
    <row r="182" spans="1:13" x14ac:dyDescent="0.3">
      <c r="A182" s="7">
        <v>181</v>
      </c>
      <c r="B182" s="1" t="s">
        <v>10</v>
      </c>
      <c r="C182" s="1" t="s">
        <v>11</v>
      </c>
      <c r="D182" s="1" t="s">
        <v>49</v>
      </c>
      <c r="E182" s="8">
        <v>45024</v>
      </c>
      <c r="F182" s="1">
        <v>2</v>
      </c>
      <c r="G182" s="1">
        <v>968</v>
      </c>
      <c r="H182">
        <f t="shared" si="2"/>
        <v>1936</v>
      </c>
      <c r="I182" s="1">
        <v>2500</v>
      </c>
      <c r="J182" s="1">
        <v>2023</v>
      </c>
      <c r="K182" s="1" t="s">
        <v>13</v>
      </c>
      <c r="L182" s="2" t="s">
        <v>29</v>
      </c>
      <c r="M182" s="3"/>
    </row>
    <row r="183" spans="1:13" x14ac:dyDescent="0.3">
      <c r="A183" s="7">
        <v>182</v>
      </c>
      <c r="B183" s="3" t="s">
        <v>26</v>
      </c>
      <c r="C183" s="3" t="s">
        <v>11</v>
      </c>
      <c r="D183" s="3" t="s">
        <v>40</v>
      </c>
      <c r="E183" s="9">
        <v>45255</v>
      </c>
      <c r="F183" s="3">
        <v>10</v>
      </c>
      <c r="G183" s="3">
        <v>121</v>
      </c>
      <c r="H183">
        <f t="shared" si="2"/>
        <v>1210</v>
      </c>
      <c r="I183" s="3">
        <v>1000</v>
      </c>
      <c r="J183" s="3">
        <v>2023</v>
      </c>
      <c r="K183" s="3" t="s">
        <v>23</v>
      </c>
      <c r="L183" s="4" t="s">
        <v>48</v>
      </c>
      <c r="M183" s="3"/>
    </row>
    <row r="184" spans="1:13" x14ac:dyDescent="0.3">
      <c r="A184" s="7">
        <v>183</v>
      </c>
      <c r="B184" s="1" t="s">
        <v>26</v>
      </c>
      <c r="C184" s="1" t="s">
        <v>27</v>
      </c>
      <c r="D184" s="1" t="s">
        <v>38</v>
      </c>
      <c r="E184" s="8">
        <v>45216</v>
      </c>
      <c r="F184" s="1">
        <v>4</v>
      </c>
      <c r="G184" s="1">
        <v>170</v>
      </c>
      <c r="H184">
        <f t="shared" si="2"/>
        <v>680</v>
      </c>
      <c r="I184" s="1">
        <v>1500</v>
      </c>
      <c r="J184" s="1">
        <v>2023</v>
      </c>
      <c r="K184" s="1" t="s">
        <v>23</v>
      </c>
      <c r="L184" s="2" t="s">
        <v>24</v>
      </c>
      <c r="M184" s="3"/>
    </row>
    <row r="185" spans="1:13" x14ac:dyDescent="0.3">
      <c r="A185" s="7">
        <v>184</v>
      </c>
      <c r="B185" s="3" t="s">
        <v>26</v>
      </c>
      <c r="C185" s="3" t="s">
        <v>16</v>
      </c>
      <c r="D185" s="3" t="s">
        <v>17</v>
      </c>
      <c r="E185" s="9">
        <v>45095</v>
      </c>
      <c r="F185" s="3">
        <v>3</v>
      </c>
      <c r="G185" s="3">
        <v>907</v>
      </c>
      <c r="H185">
        <f t="shared" si="2"/>
        <v>2721</v>
      </c>
      <c r="I185" s="3">
        <v>1000</v>
      </c>
      <c r="J185" s="3">
        <v>2023</v>
      </c>
      <c r="K185" s="3" t="s">
        <v>13</v>
      </c>
      <c r="L185" s="4" t="s">
        <v>32</v>
      </c>
      <c r="M185" s="3"/>
    </row>
    <row r="186" spans="1:13" x14ac:dyDescent="0.3">
      <c r="A186" s="7">
        <v>185</v>
      </c>
      <c r="B186" s="1" t="s">
        <v>26</v>
      </c>
      <c r="C186" s="1" t="s">
        <v>27</v>
      </c>
      <c r="D186" s="1" t="s">
        <v>38</v>
      </c>
      <c r="E186" s="8">
        <v>45203</v>
      </c>
      <c r="F186" s="1">
        <v>5</v>
      </c>
      <c r="G186" s="1">
        <v>917</v>
      </c>
      <c r="H186">
        <f t="shared" si="2"/>
        <v>4585</v>
      </c>
      <c r="I186" s="1">
        <v>1500</v>
      </c>
      <c r="J186" s="1">
        <v>2023</v>
      </c>
      <c r="K186" s="1" t="s">
        <v>23</v>
      </c>
      <c r="L186" s="2" t="s">
        <v>24</v>
      </c>
      <c r="M186" s="3"/>
    </row>
    <row r="187" spans="1:13" x14ac:dyDescent="0.3">
      <c r="A187" s="7">
        <v>186</v>
      </c>
      <c r="B187" s="3" t="s">
        <v>20</v>
      </c>
      <c r="C187" s="3" t="s">
        <v>11</v>
      </c>
      <c r="D187" s="3" t="s">
        <v>40</v>
      </c>
      <c r="E187" s="9">
        <v>44994</v>
      </c>
      <c r="F187" s="3">
        <v>1</v>
      </c>
      <c r="G187" s="3">
        <v>466</v>
      </c>
      <c r="H187">
        <f t="shared" si="2"/>
        <v>466</v>
      </c>
      <c r="I187" s="3">
        <v>1500</v>
      </c>
      <c r="J187" s="3">
        <v>2023</v>
      </c>
      <c r="K187" s="3" t="s">
        <v>18</v>
      </c>
      <c r="L187" s="4" t="s">
        <v>44</v>
      </c>
      <c r="M187" s="3"/>
    </row>
    <row r="188" spans="1:13" x14ac:dyDescent="0.3">
      <c r="A188" s="7">
        <v>187</v>
      </c>
      <c r="B188" s="1" t="s">
        <v>20</v>
      </c>
      <c r="C188" s="1" t="s">
        <v>16</v>
      </c>
      <c r="D188" s="1" t="s">
        <v>36</v>
      </c>
      <c r="E188" s="8">
        <v>45016</v>
      </c>
      <c r="F188" s="1">
        <v>5</v>
      </c>
      <c r="G188" s="1">
        <v>153</v>
      </c>
      <c r="H188">
        <f t="shared" si="2"/>
        <v>765</v>
      </c>
      <c r="I188" s="1">
        <v>1500</v>
      </c>
      <c r="J188" s="1">
        <v>2023</v>
      </c>
      <c r="K188" s="1" t="s">
        <v>18</v>
      </c>
      <c r="L188" s="2" t="s">
        <v>44</v>
      </c>
      <c r="M188" s="3"/>
    </row>
    <row r="189" spans="1:13" x14ac:dyDescent="0.3">
      <c r="A189" s="7">
        <v>188</v>
      </c>
      <c r="B189" s="3" t="s">
        <v>20</v>
      </c>
      <c r="C189" s="3" t="s">
        <v>30</v>
      </c>
      <c r="D189" s="3" t="s">
        <v>33</v>
      </c>
      <c r="E189" s="9">
        <v>44959</v>
      </c>
      <c r="F189" s="3">
        <v>8</v>
      </c>
      <c r="G189" s="3">
        <v>559</v>
      </c>
      <c r="H189">
        <f t="shared" si="2"/>
        <v>4472</v>
      </c>
      <c r="I189" s="3">
        <v>2000</v>
      </c>
      <c r="J189" s="3">
        <v>2023</v>
      </c>
      <c r="K189" s="3" t="s">
        <v>18</v>
      </c>
      <c r="L189" s="4" t="s">
        <v>39</v>
      </c>
      <c r="M189" s="3"/>
    </row>
    <row r="190" spans="1:13" x14ac:dyDescent="0.3">
      <c r="A190" s="7">
        <v>189</v>
      </c>
      <c r="B190" s="1" t="s">
        <v>20</v>
      </c>
      <c r="C190" s="1" t="s">
        <v>16</v>
      </c>
      <c r="D190" s="1" t="s">
        <v>43</v>
      </c>
      <c r="E190" s="8">
        <v>45158</v>
      </c>
      <c r="F190" s="1">
        <v>9</v>
      </c>
      <c r="G190" s="1">
        <v>326</v>
      </c>
      <c r="H190">
        <f t="shared" si="2"/>
        <v>2934</v>
      </c>
      <c r="I190" s="1">
        <v>1000</v>
      </c>
      <c r="J190" s="1">
        <v>2023</v>
      </c>
      <c r="K190" s="1" t="s">
        <v>34</v>
      </c>
      <c r="L190" s="2" t="s">
        <v>45</v>
      </c>
      <c r="M190" s="3"/>
    </row>
    <row r="191" spans="1:13" x14ac:dyDescent="0.3">
      <c r="A191" s="7">
        <v>190</v>
      </c>
      <c r="B191" s="3" t="s">
        <v>15</v>
      </c>
      <c r="C191" s="3" t="s">
        <v>16</v>
      </c>
      <c r="D191" s="3" t="s">
        <v>36</v>
      </c>
      <c r="E191" s="9">
        <v>45256</v>
      </c>
      <c r="F191" s="3">
        <v>1</v>
      </c>
      <c r="G191" s="3">
        <v>162</v>
      </c>
      <c r="H191">
        <f t="shared" si="2"/>
        <v>162</v>
      </c>
      <c r="I191" s="3">
        <v>2500</v>
      </c>
      <c r="J191" s="3">
        <v>2023</v>
      </c>
      <c r="K191" s="3" t="s">
        <v>23</v>
      </c>
      <c r="L191" s="4" t="s">
        <v>48</v>
      </c>
      <c r="M191" s="3"/>
    </row>
    <row r="192" spans="1:13" x14ac:dyDescent="0.3">
      <c r="A192" s="7">
        <v>191</v>
      </c>
      <c r="B192" s="1" t="s">
        <v>20</v>
      </c>
      <c r="C192" s="1" t="s">
        <v>30</v>
      </c>
      <c r="D192" s="1" t="s">
        <v>41</v>
      </c>
      <c r="E192" s="8">
        <v>45178</v>
      </c>
      <c r="F192" s="1">
        <v>8</v>
      </c>
      <c r="G192" s="1">
        <v>175</v>
      </c>
      <c r="H192">
        <f t="shared" si="2"/>
        <v>1400</v>
      </c>
      <c r="I192" s="1">
        <v>1000</v>
      </c>
      <c r="J192" s="1">
        <v>2023</v>
      </c>
      <c r="K192" s="1" t="s">
        <v>34</v>
      </c>
      <c r="L192" s="2" t="s">
        <v>47</v>
      </c>
      <c r="M192" s="3"/>
    </row>
    <row r="193" spans="1:13" x14ac:dyDescent="0.3">
      <c r="A193" s="7">
        <v>192</v>
      </c>
      <c r="B193" s="3" t="s">
        <v>26</v>
      </c>
      <c r="C193" s="3" t="s">
        <v>27</v>
      </c>
      <c r="D193" s="3" t="s">
        <v>46</v>
      </c>
      <c r="E193" s="9">
        <v>44960</v>
      </c>
      <c r="F193" s="3">
        <v>3</v>
      </c>
      <c r="G193" s="3">
        <v>381</v>
      </c>
      <c r="H193">
        <f t="shared" si="2"/>
        <v>1143</v>
      </c>
      <c r="I193" s="3">
        <v>2000</v>
      </c>
      <c r="J193" s="3">
        <v>2023</v>
      </c>
      <c r="K193" s="3" t="s">
        <v>18</v>
      </c>
      <c r="L193" s="4" t="s">
        <v>39</v>
      </c>
      <c r="M193" s="3"/>
    </row>
    <row r="194" spans="1:13" x14ac:dyDescent="0.3">
      <c r="A194" s="7">
        <v>193</v>
      </c>
      <c r="B194" s="1" t="s">
        <v>10</v>
      </c>
      <c r="C194" s="1" t="s">
        <v>30</v>
      </c>
      <c r="D194" s="1" t="s">
        <v>33</v>
      </c>
      <c r="E194" s="8">
        <v>45159</v>
      </c>
      <c r="F194" s="1">
        <v>9</v>
      </c>
      <c r="G194" s="1">
        <v>719</v>
      </c>
      <c r="H194">
        <f t="shared" si="2"/>
        <v>6471</v>
      </c>
      <c r="I194" s="1">
        <v>2500</v>
      </c>
      <c r="J194" s="1">
        <v>2023</v>
      </c>
      <c r="K194" s="1" t="s">
        <v>34</v>
      </c>
      <c r="L194" s="2" t="s">
        <v>45</v>
      </c>
      <c r="M194" s="3"/>
    </row>
    <row r="195" spans="1:13" x14ac:dyDescent="0.3">
      <c r="A195" s="7">
        <v>194</v>
      </c>
      <c r="B195" s="3" t="s">
        <v>20</v>
      </c>
      <c r="C195" s="3" t="s">
        <v>11</v>
      </c>
      <c r="D195" s="3" t="s">
        <v>40</v>
      </c>
      <c r="E195" s="9">
        <v>45262</v>
      </c>
      <c r="F195" s="3">
        <v>9</v>
      </c>
      <c r="G195" s="3">
        <v>838</v>
      </c>
      <c r="H195">
        <f t="shared" ref="H195:H201" si="3">F195*G195</f>
        <v>7542</v>
      </c>
      <c r="I195" s="3">
        <v>1500</v>
      </c>
      <c r="J195" s="3">
        <v>2023</v>
      </c>
      <c r="K195" s="3" t="s">
        <v>23</v>
      </c>
      <c r="L195" s="4" t="s">
        <v>37</v>
      </c>
      <c r="M195" s="3"/>
    </row>
    <row r="196" spans="1:13" x14ac:dyDescent="0.3">
      <c r="A196" s="7">
        <v>195</v>
      </c>
      <c r="B196" s="1" t="s">
        <v>26</v>
      </c>
      <c r="C196" s="1" t="s">
        <v>30</v>
      </c>
      <c r="D196" s="1" t="s">
        <v>41</v>
      </c>
      <c r="E196" s="8">
        <v>45138</v>
      </c>
      <c r="F196" s="1">
        <v>6</v>
      </c>
      <c r="G196" s="1">
        <v>947</v>
      </c>
      <c r="H196">
        <f t="shared" si="3"/>
        <v>5682</v>
      </c>
      <c r="I196" s="1">
        <v>2500</v>
      </c>
      <c r="J196" s="1">
        <v>2023</v>
      </c>
      <c r="K196" s="1" t="s">
        <v>34</v>
      </c>
      <c r="L196" s="2" t="s">
        <v>35</v>
      </c>
      <c r="M196" s="3"/>
    </row>
    <row r="197" spans="1:13" x14ac:dyDescent="0.3">
      <c r="A197" s="7">
        <v>196</v>
      </c>
      <c r="B197" s="3" t="s">
        <v>20</v>
      </c>
      <c r="C197" s="3" t="s">
        <v>30</v>
      </c>
      <c r="D197" s="3" t="s">
        <v>41</v>
      </c>
      <c r="E197" s="9">
        <v>45087</v>
      </c>
      <c r="F197" s="3">
        <v>7</v>
      </c>
      <c r="G197" s="3">
        <v>420</v>
      </c>
      <c r="H197">
        <f t="shared" si="3"/>
        <v>2940</v>
      </c>
      <c r="I197" s="3">
        <v>2000</v>
      </c>
      <c r="J197" s="3">
        <v>2023</v>
      </c>
      <c r="K197" s="3" t="s">
        <v>13</v>
      </c>
      <c r="L197" s="4" t="s">
        <v>32</v>
      </c>
      <c r="M197" s="3"/>
    </row>
    <row r="198" spans="1:13" x14ac:dyDescent="0.3">
      <c r="A198" s="7">
        <v>197</v>
      </c>
      <c r="B198" s="1" t="s">
        <v>15</v>
      </c>
      <c r="C198" s="1" t="s">
        <v>27</v>
      </c>
      <c r="D198" s="1" t="s">
        <v>38</v>
      </c>
      <c r="E198" s="8">
        <v>44961</v>
      </c>
      <c r="F198" s="1">
        <v>2</v>
      </c>
      <c r="G198" s="1">
        <v>951</v>
      </c>
      <c r="H198">
        <f t="shared" si="3"/>
        <v>1902</v>
      </c>
      <c r="I198" s="1">
        <v>1000</v>
      </c>
      <c r="J198" s="1">
        <v>2023</v>
      </c>
      <c r="K198" s="1" t="s">
        <v>18</v>
      </c>
      <c r="L198" s="2" t="s">
        <v>39</v>
      </c>
      <c r="M198" s="3"/>
    </row>
    <row r="199" spans="1:13" x14ac:dyDescent="0.3">
      <c r="A199" s="7">
        <v>198</v>
      </c>
      <c r="B199" s="3" t="s">
        <v>20</v>
      </c>
      <c r="C199" s="3" t="s">
        <v>11</v>
      </c>
      <c r="D199" s="3" t="s">
        <v>49</v>
      </c>
      <c r="E199" s="9">
        <v>45117</v>
      </c>
      <c r="F199" s="3">
        <v>3</v>
      </c>
      <c r="G199" s="3">
        <v>669</v>
      </c>
      <c r="H199">
        <f t="shared" si="3"/>
        <v>2007</v>
      </c>
      <c r="I199" s="3">
        <v>1000</v>
      </c>
      <c r="J199" s="3">
        <v>2023</v>
      </c>
      <c r="K199" s="3" t="s">
        <v>34</v>
      </c>
      <c r="L199" s="4" t="s">
        <v>35</v>
      </c>
      <c r="M199" s="3"/>
    </row>
    <row r="200" spans="1:13" x14ac:dyDescent="0.3">
      <c r="A200" s="7">
        <v>199</v>
      </c>
      <c r="B200" s="1" t="s">
        <v>10</v>
      </c>
      <c r="C200" s="1" t="s">
        <v>16</v>
      </c>
      <c r="D200" s="1" t="s">
        <v>43</v>
      </c>
      <c r="E200" s="8">
        <v>45270</v>
      </c>
      <c r="F200" s="1">
        <v>2</v>
      </c>
      <c r="G200" s="1">
        <v>520</v>
      </c>
      <c r="H200">
        <f t="shared" si="3"/>
        <v>1040</v>
      </c>
      <c r="I200" s="1">
        <v>2000</v>
      </c>
      <c r="J200" s="1">
        <v>2023</v>
      </c>
      <c r="K200" s="1" t="s">
        <v>23</v>
      </c>
      <c r="L200" s="2" t="s">
        <v>37</v>
      </c>
      <c r="M200" s="3"/>
    </row>
    <row r="201" spans="1:13" x14ac:dyDescent="0.3">
      <c r="A201" s="7">
        <v>200</v>
      </c>
      <c r="B201" s="5" t="s">
        <v>20</v>
      </c>
      <c r="C201" s="5" t="s">
        <v>30</v>
      </c>
      <c r="D201" s="5" t="s">
        <v>33</v>
      </c>
      <c r="E201" s="10">
        <v>45074</v>
      </c>
      <c r="F201" s="5">
        <v>10</v>
      </c>
      <c r="G201" s="5">
        <v>419</v>
      </c>
      <c r="H201">
        <f t="shared" si="3"/>
        <v>4190</v>
      </c>
      <c r="I201" s="5">
        <v>2000</v>
      </c>
      <c r="J201" s="5">
        <v>2023</v>
      </c>
      <c r="K201" s="5" t="s">
        <v>13</v>
      </c>
      <c r="L201" s="6" t="s">
        <v>14</v>
      </c>
      <c r="M201" s="5"/>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8CDDD-C5E4-4BC6-A6A7-B09892BDA474}">
  <dimension ref="A1:Q30"/>
  <sheetViews>
    <sheetView tabSelected="1" zoomScale="69" workbookViewId="0">
      <selection activeCell="Q34" sqref="Q34"/>
    </sheetView>
  </sheetViews>
  <sheetFormatPr defaultRowHeight="14.4" x14ac:dyDescent="0.3"/>
  <cols>
    <col min="2" max="2" width="11.21875" bestFit="1" customWidth="1"/>
    <col min="9" max="9" width="13" bestFit="1" customWidth="1"/>
    <col min="10" max="10" width="11.44140625" bestFit="1" customWidth="1"/>
    <col min="16" max="16" width="15.44140625" bestFit="1" customWidth="1"/>
  </cols>
  <sheetData>
    <row r="1" spans="1:6" x14ac:dyDescent="0.3">
      <c r="A1" s="11" t="s">
        <v>0</v>
      </c>
      <c r="B1" s="12" t="s">
        <v>2</v>
      </c>
      <c r="C1" s="12" t="s">
        <v>3</v>
      </c>
      <c r="D1" s="12" t="s">
        <v>51</v>
      </c>
      <c r="E1" s="12" t="s">
        <v>52</v>
      </c>
      <c r="F1" s="24" t="s">
        <v>5</v>
      </c>
    </row>
    <row r="2" spans="1:6" x14ac:dyDescent="0.3">
      <c r="A2" s="13">
        <v>1</v>
      </c>
      <c r="B2" s="1" t="s">
        <v>11</v>
      </c>
      <c r="C2" s="1" t="s">
        <v>12</v>
      </c>
      <c r="D2" s="1">
        <v>4</v>
      </c>
      <c r="E2" s="1">
        <v>242</v>
      </c>
      <c r="F2">
        <f>D2*E2</f>
        <v>968</v>
      </c>
    </row>
    <row r="3" spans="1:6" x14ac:dyDescent="0.3">
      <c r="A3" s="14">
        <v>2</v>
      </c>
      <c r="B3" s="3" t="s">
        <v>16</v>
      </c>
      <c r="C3" s="3" t="s">
        <v>17</v>
      </c>
      <c r="D3" s="3">
        <v>1</v>
      </c>
      <c r="E3" s="3">
        <v>195</v>
      </c>
      <c r="F3">
        <f t="shared" ref="F3:F21" si="0">D3*E3</f>
        <v>195</v>
      </c>
    </row>
    <row r="4" spans="1:6" x14ac:dyDescent="0.3">
      <c r="A4" s="22">
        <v>3</v>
      </c>
      <c r="B4" s="1" t="s">
        <v>21</v>
      </c>
      <c r="C4" s="1" t="s">
        <v>22</v>
      </c>
      <c r="D4" s="1">
        <v>4</v>
      </c>
      <c r="E4" s="1">
        <v>833</v>
      </c>
      <c r="F4">
        <f t="shared" si="0"/>
        <v>3332</v>
      </c>
    </row>
    <row r="5" spans="1:6" x14ac:dyDescent="0.3">
      <c r="A5" s="23">
        <v>4</v>
      </c>
      <c r="B5" s="3" t="s">
        <v>21</v>
      </c>
      <c r="C5" s="3" t="s">
        <v>25</v>
      </c>
      <c r="D5" s="3">
        <v>3</v>
      </c>
      <c r="E5" s="3">
        <v>814</v>
      </c>
      <c r="F5">
        <f t="shared" si="0"/>
        <v>2442</v>
      </c>
    </row>
    <row r="6" spans="1:6" x14ac:dyDescent="0.3">
      <c r="A6" s="22">
        <v>5</v>
      </c>
      <c r="B6" s="1" t="s">
        <v>27</v>
      </c>
      <c r="C6" s="1" t="s">
        <v>28</v>
      </c>
      <c r="D6" s="1">
        <v>6</v>
      </c>
      <c r="E6" s="1">
        <v>204</v>
      </c>
      <c r="F6">
        <f t="shared" si="0"/>
        <v>1224</v>
      </c>
    </row>
    <row r="7" spans="1:6" x14ac:dyDescent="0.3">
      <c r="A7" s="23">
        <v>6</v>
      </c>
      <c r="B7" s="3" t="s">
        <v>30</v>
      </c>
      <c r="C7" s="3" t="s">
        <v>31</v>
      </c>
      <c r="D7" s="3">
        <v>10</v>
      </c>
      <c r="E7" s="3">
        <v>370</v>
      </c>
      <c r="F7">
        <f t="shared" si="0"/>
        <v>3700</v>
      </c>
    </row>
    <row r="8" spans="1:6" x14ac:dyDescent="0.3">
      <c r="A8" s="22">
        <v>7</v>
      </c>
      <c r="B8" s="1" t="s">
        <v>30</v>
      </c>
      <c r="C8" s="1" t="s">
        <v>33</v>
      </c>
      <c r="D8" s="1">
        <v>2</v>
      </c>
      <c r="E8" s="1">
        <v>665</v>
      </c>
      <c r="F8">
        <f t="shared" si="0"/>
        <v>1330</v>
      </c>
    </row>
    <row r="9" spans="1:6" x14ac:dyDescent="0.3">
      <c r="A9" s="23">
        <v>8</v>
      </c>
      <c r="B9" s="3" t="s">
        <v>16</v>
      </c>
      <c r="C9" s="3" t="s">
        <v>36</v>
      </c>
      <c r="D9" s="3">
        <v>2</v>
      </c>
      <c r="E9" s="3">
        <v>146</v>
      </c>
      <c r="F9">
        <f t="shared" si="0"/>
        <v>292</v>
      </c>
    </row>
    <row r="10" spans="1:6" x14ac:dyDescent="0.3">
      <c r="A10" s="22">
        <v>9</v>
      </c>
      <c r="B10" s="1" t="s">
        <v>27</v>
      </c>
      <c r="C10" s="1" t="s">
        <v>38</v>
      </c>
      <c r="D10" s="1">
        <v>7</v>
      </c>
      <c r="E10" s="1">
        <v>384</v>
      </c>
      <c r="F10">
        <f t="shared" si="0"/>
        <v>2688</v>
      </c>
    </row>
    <row r="11" spans="1:6" x14ac:dyDescent="0.3">
      <c r="A11" s="23">
        <v>10</v>
      </c>
      <c r="B11" s="3" t="s">
        <v>27</v>
      </c>
      <c r="C11" s="3" t="s">
        <v>38</v>
      </c>
      <c r="D11" s="3">
        <v>4</v>
      </c>
      <c r="E11" s="3">
        <v>786</v>
      </c>
      <c r="F11">
        <f t="shared" si="0"/>
        <v>3144</v>
      </c>
    </row>
    <row r="12" spans="1:6" x14ac:dyDescent="0.3">
      <c r="A12" s="22">
        <v>11</v>
      </c>
      <c r="B12" s="1" t="s">
        <v>11</v>
      </c>
      <c r="C12" s="1" t="s">
        <v>40</v>
      </c>
      <c r="D12" s="1">
        <v>4</v>
      </c>
      <c r="E12" s="1">
        <v>267</v>
      </c>
      <c r="F12">
        <f t="shared" si="0"/>
        <v>1068</v>
      </c>
    </row>
    <row r="13" spans="1:6" x14ac:dyDescent="0.3">
      <c r="A13" s="23">
        <v>12</v>
      </c>
      <c r="B13" s="3" t="s">
        <v>30</v>
      </c>
      <c r="C13" s="3" t="s">
        <v>41</v>
      </c>
      <c r="D13" s="3">
        <v>6</v>
      </c>
      <c r="E13" s="3">
        <v>963</v>
      </c>
      <c r="F13">
        <f t="shared" si="0"/>
        <v>5778</v>
      </c>
    </row>
    <row r="14" spans="1:6" x14ac:dyDescent="0.3">
      <c r="A14" s="22">
        <v>13</v>
      </c>
      <c r="B14" s="1" t="s">
        <v>21</v>
      </c>
      <c r="C14" s="1" t="s">
        <v>42</v>
      </c>
      <c r="D14" s="1">
        <v>5</v>
      </c>
      <c r="E14" s="1">
        <v>167</v>
      </c>
      <c r="F14">
        <f t="shared" si="0"/>
        <v>835</v>
      </c>
    </row>
    <row r="15" spans="1:6" x14ac:dyDescent="0.3">
      <c r="A15" s="23">
        <v>14</v>
      </c>
      <c r="B15" s="3" t="s">
        <v>16</v>
      </c>
      <c r="C15" s="3" t="s">
        <v>43</v>
      </c>
      <c r="D15" s="3">
        <v>8</v>
      </c>
      <c r="E15" s="3">
        <v>505</v>
      </c>
      <c r="F15">
        <f t="shared" si="0"/>
        <v>4040</v>
      </c>
    </row>
    <row r="16" spans="1:6" x14ac:dyDescent="0.3">
      <c r="A16" s="22">
        <v>15</v>
      </c>
      <c r="B16" s="1" t="s">
        <v>21</v>
      </c>
      <c r="C16" s="1" t="s">
        <v>25</v>
      </c>
      <c r="D16" s="1">
        <v>9</v>
      </c>
      <c r="E16" s="1">
        <v>651</v>
      </c>
      <c r="F16">
        <f t="shared" si="0"/>
        <v>5859</v>
      </c>
    </row>
    <row r="17" spans="1:17" x14ac:dyDescent="0.3">
      <c r="A17" s="23">
        <v>16</v>
      </c>
      <c r="B17" s="3" t="s">
        <v>16</v>
      </c>
      <c r="C17" s="3" t="s">
        <v>36</v>
      </c>
      <c r="D17" s="3">
        <v>4</v>
      </c>
      <c r="E17" s="3">
        <v>241</v>
      </c>
      <c r="F17">
        <f t="shared" si="0"/>
        <v>964</v>
      </c>
    </row>
    <row r="18" spans="1:17" x14ac:dyDescent="0.3">
      <c r="A18" s="22">
        <v>17</v>
      </c>
      <c r="B18" s="1" t="s">
        <v>11</v>
      </c>
      <c r="C18" s="1" t="s">
        <v>12</v>
      </c>
      <c r="D18" s="1">
        <v>3</v>
      </c>
      <c r="E18" s="1">
        <v>911</v>
      </c>
      <c r="F18">
        <f t="shared" si="0"/>
        <v>2733</v>
      </c>
    </row>
    <row r="19" spans="1:17" x14ac:dyDescent="0.3">
      <c r="A19" s="23">
        <v>18</v>
      </c>
      <c r="B19" s="3" t="s">
        <v>16</v>
      </c>
      <c r="C19" s="3" t="s">
        <v>17</v>
      </c>
      <c r="D19" s="3">
        <v>10</v>
      </c>
      <c r="E19" s="3">
        <v>579</v>
      </c>
      <c r="F19">
        <f t="shared" si="0"/>
        <v>5790</v>
      </c>
    </row>
    <row r="20" spans="1:17" x14ac:dyDescent="0.3">
      <c r="A20" s="22">
        <v>19</v>
      </c>
      <c r="B20" s="1" t="s">
        <v>16</v>
      </c>
      <c r="C20" s="1" t="s">
        <v>17</v>
      </c>
      <c r="D20" s="1">
        <v>9</v>
      </c>
      <c r="E20" s="1">
        <v>868</v>
      </c>
      <c r="F20">
        <f t="shared" si="0"/>
        <v>7812</v>
      </c>
    </row>
    <row r="21" spans="1:17" x14ac:dyDescent="0.3">
      <c r="A21" s="23">
        <v>20</v>
      </c>
      <c r="B21" s="3" t="s">
        <v>27</v>
      </c>
      <c r="C21" s="3" t="s">
        <v>38</v>
      </c>
      <c r="D21" s="3">
        <v>3</v>
      </c>
      <c r="E21" s="3">
        <v>564</v>
      </c>
      <c r="F21">
        <f t="shared" si="0"/>
        <v>1692</v>
      </c>
    </row>
    <row r="24" spans="1:17" x14ac:dyDescent="0.3">
      <c r="I24" t="s">
        <v>67</v>
      </c>
      <c r="J24" t="s">
        <v>68</v>
      </c>
    </row>
    <row r="25" spans="1:17" x14ac:dyDescent="0.3">
      <c r="I25" t="s">
        <v>71</v>
      </c>
      <c r="J25">
        <v>0</v>
      </c>
    </row>
    <row r="26" spans="1:17" x14ac:dyDescent="0.3">
      <c r="I26" t="s">
        <v>60</v>
      </c>
      <c r="J26" s="15">
        <f>SUM(F2:F21)</f>
        <v>55886</v>
      </c>
    </row>
    <row r="27" spans="1:17" x14ac:dyDescent="0.3">
      <c r="I27" t="s">
        <v>72</v>
      </c>
      <c r="J27" s="15">
        <f>J26*0.8</f>
        <v>44708.800000000003</v>
      </c>
      <c r="P27" t="s">
        <v>67</v>
      </c>
      <c r="Q27" t="s">
        <v>68</v>
      </c>
    </row>
    <row r="28" spans="1:17" x14ac:dyDescent="0.3">
      <c r="I28" t="s">
        <v>59</v>
      </c>
      <c r="J28" s="15">
        <f>J26-J27</f>
        <v>11177.199999999997</v>
      </c>
      <c r="P28" t="s">
        <v>69</v>
      </c>
      <c r="Q28">
        <f>SUM(D2:D21)</f>
        <v>104</v>
      </c>
    </row>
    <row r="29" spans="1:17" x14ac:dyDescent="0.3">
      <c r="P29" t="s">
        <v>70</v>
      </c>
      <c r="Q29">
        <f>SUMIF(D2:D21, "&gt;2")</f>
        <v>99</v>
      </c>
    </row>
    <row r="30" spans="1:17" x14ac:dyDescent="0.3">
      <c r="P30" t="s">
        <v>73</v>
      </c>
      <c r="Q30">
        <f>SUM(E2:E21)</f>
        <v>10355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AE1E7-3271-4657-8C66-52DCC5294B6E}">
  <dimension ref="A3:C17"/>
  <sheetViews>
    <sheetView workbookViewId="0">
      <selection activeCell="A3" sqref="A3"/>
    </sheetView>
  </sheetViews>
  <sheetFormatPr defaultRowHeight="14.4" x14ac:dyDescent="0.3"/>
  <cols>
    <col min="1" max="1" width="12.5546875" bestFit="1" customWidth="1"/>
    <col min="2" max="2" width="11.6640625" bestFit="1" customWidth="1"/>
    <col min="3" max="3" width="23.33203125" bestFit="1" customWidth="1"/>
  </cols>
  <sheetData>
    <row r="3" spans="1:3" x14ac:dyDescent="0.3">
      <c r="A3" s="16" t="s">
        <v>53</v>
      </c>
      <c r="B3" t="s">
        <v>55</v>
      </c>
      <c r="C3" t="s">
        <v>56</v>
      </c>
    </row>
    <row r="4" spans="1:3" x14ac:dyDescent="0.3">
      <c r="A4" s="17" t="s">
        <v>31</v>
      </c>
      <c r="B4" s="7">
        <v>3700</v>
      </c>
      <c r="C4" s="7">
        <v>4366</v>
      </c>
    </row>
    <row r="5" spans="1:3" x14ac:dyDescent="0.3">
      <c r="A5" s="17" t="s">
        <v>42</v>
      </c>
      <c r="B5" s="7">
        <v>5778</v>
      </c>
      <c r="C5" s="7">
        <v>6818.04</v>
      </c>
    </row>
    <row r="6" spans="1:3" x14ac:dyDescent="0.3">
      <c r="A6" s="17" t="s">
        <v>17</v>
      </c>
      <c r="B6" s="7">
        <v>8718</v>
      </c>
      <c r="C6" s="7">
        <v>10287.24</v>
      </c>
    </row>
    <row r="7" spans="1:3" x14ac:dyDescent="0.3">
      <c r="A7" s="17" t="s">
        <v>33</v>
      </c>
      <c r="B7" s="7">
        <v>1330</v>
      </c>
      <c r="C7" s="7">
        <v>1569.4</v>
      </c>
    </row>
    <row r="8" spans="1:3" x14ac:dyDescent="0.3">
      <c r="A8" s="17" t="s">
        <v>40</v>
      </c>
      <c r="B8" s="7">
        <v>3144</v>
      </c>
      <c r="C8" s="7">
        <v>3709.92</v>
      </c>
    </row>
    <row r="9" spans="1:3" x14ac:dyDescent="0.3">
      <c r="A9" s="17" t="s">
        <v>43</v>
      </c>
      <c r="B9" s="7">
        <v>835</v>
      </c>
      <c r="C9" s="7">
        <v>985.3</v>
      </c>
    </row>
    <row r="10" spans="1:3" x14ac:dyDescent="0.3">
      <c r="A10" s="17" t="s">
        <v>12</v>
      </c>
      <c r="B10" s="7">
        <v>1932</v>
      </c>
      <c r="C10" s="7">
        <v>2279.7600000000002</v>
      </c>
    </row>
    <row r="11" spans="1:3" x14ac:dyDescent="0.3">
      <c r="A11" s="17" t="s">
        <v>41</v>
      </c>
      <c r="B11" s="7">
        <v>1068</v>
      </c>
      <c r="C11" s="7">
        <v>1260.24</v>
      </c>
    </row>
    <row r="12" spans="1:3" x14ac:dyDescent="0.3">
      <c r="A12" s="17" t="s">
        <v>28</v>
      </c>
      <c r="B12" s="7">
        <v>1124</v>
      </c>
      <c r="C12" s="7">
        <v>1326.32</v>
      </c>
    </row>
    <row r="13" spans="1:3" x14ac:dyDescent="0.3">
      <c r="A13" s="17" t="s">
        <v>36</v>
      </c>
      <c r="B13" s="7">
        <v>6151</v>
      </c>
      <c r="C13" s="7">
        <v>7258.18</v>
      </c>
    </row>
    <row r="14" spans="1:3" x14ac:dyDescent="0.3">
      <c r="A14" s="17" t="s">
        <v>38</v>
      </c>
      <c r="B14" s="7">
        <v>12192</v>
      </c>
      <c r="C14" s="7">
        <v>14386.56</v>
      </c>
    </row>
    <row r="15" spans="1:3" x14ac:dyDescent="0.3">
      <c r="A15" s="17" t="s">
        <v>22</v>
      </c>
      <c r="B15" s="7">
        <v>3332</v>
      </c>
      <c r="C15" s="7">
        <v>3931.76</v>
      </c>
    </row>
    <row r="16" spans="1:3" x14ac:dyDescent="0.3">
      <c r="A16" s="17" t="s">
        <v>25</v>
      </c>
      <c r="B16" s="7">
        <v>6482</v>
      </c>
      <c r="C16" s="7">
        <v>7648.76</v>
      </c>
    </row>
    <row r="17" spans="1:3" x14ac:dyDescent="0.3">
      <c r="A17" s="17" t="s">
        <v>54</v>
      </c>
      <c r="B17" s="7">
        <v>55786</v>
      </c>
      <c r="C17" s="7">
        <v>65827.48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6C393-5F46-44D4-BB81-68ECF48E28CD}">
  <dimension ref="D1:F21"/>
  <sheetViews>
    <sheetView workbookViewId="0">
      <pane ySplit="1" topLeftCell="A2" activePane="bottomLeft" state="frozen"/>
      <selection pane="bottomLeft" activeCell="Q12" sqref="Q12"/>
    </sheetView>
  </sheetViews>
  <sheetFormatPr defaultRowHeight="14.4" x14ac:dyDescent="0.3"/>
  <cols>
    <col min="4" max="4" width="6.109375" bestFit="1" customWidth="1"/>
    <col min="5" max="5" width="11.109375" bestFit="1" customWidth="1"/>
    <col min="6" max="6" width="12.33203125" customWidth="1"/>
  </cols>
  <sheetData>
    <row r="1" spans="4:6" x14ac:dyDescent="0.3">
      <c r="D1" t="s">
        <v>0</v>
      </c>
      <c r="E1" t="s">
        <v>3</v>
      </c>
      <c r="F1" t="s">
        <v>5</v>
      </c>
    </row>
    <row r="2" spans="4:6" x14ac:dyDescent="0.3">
      <c r="D2">
        <v>1</v>
      </c>
      <c r="E2" t="s">
        <v>12</v>
      </c>
      <c r="F2">
        <v>968</v>
      </c>
    </row>
    <row r="3" spans="4:6" x14ac:dyDescent="0.3">
      <c r="D3">
        <v>2</v>
      </c>
      <c r="E3" t="s">
        <v>17</v>
      </c>
      <c r="F3">
        <v>195</v>
      </c>
    </row>
    <row r="4" spans="4:6" x14ac:dyDescent="0.3">
      <c r="D4">
        <v>3</v>
      </c>
      <c r="E4" t="s">
        <v>22</v>
      </c>
      <c r="F4">
        <v>3332</v>
      </c>
    </row>
    <row r="5" spans="4:6" x14ac:dyDescent="0.3">
      <c r="D5">
        <v>4</v>
      </c>
      <c r="E5" t="s">
        <v>25</v>
      </c>
      <c r="F5">
        <v>2442</v>
      </c>
    </row>
    <row r="6" spans="4:6" x14ac:dyDescent="0.3">
      <c r="D6">
        <v>5</v>
      </c>
      <c r="E6" t="s">
        <v>28</v>
      </c>
      <c r="F6">
        <v>1124</v>
      </c>
    </row>
    <row r="7" spans="4:6" x14ac:dyDescent="0.3">
      <c r="D7">
        <v>6</v>
      </c>
      <c r="E7" t="s">
        <v>31</v>
      </c>
      <c r="F7">
        <v>3700</v>
      </c>
    </row>
    <row r="8" spans="4:6" x14ac:dyDescent="0.3">
      <c r="D8">
        <v>7</v>
      </c>
      <c r="E8" t="s">
        <v>33</v>
      </c>
      <c r="F8">
        <v>1330</v>
      </c>
    </row>
    <row r="9" spans="4:6" x14ac:dyDescent="0.3">
      <c r="D9">
        <v>8</v>
      </c>
      <c r="E9" t="s">
        <v>36</v>
      </c>
      <c r="F9">
        <v>292</v>
      </c>
    </row>
    <row r="10" spans="4:6" x14ac:dyDescent="0.3">
      <c r="D10">
        <v>9</v>
      </c>
      <c r="E10" t="s">
        <v>38</v>
      </c>
      <c r="F10">
        <v>2688</v>
      </c>
    </row>
    <row r="11" spans="4:6" x14ac:dyDescent="0.3">
      <c r="D11">
        <v>10</v>
      </c>
      <c r="E11" t="s">
        <v>40</v>
      </c>
      <c r="F11">
        <v>3144</v>
      </c>
    </row>
    <row r="12" spans="4:6" x14ac:dyDescent="0.3">
      <c r="D12">
        <v>11</v>
      </c>
      <c r="E12" t="s">
        <v>41</v>
      </c>
      <c r="F12">
        <v>1068</v>
      </c>
    </row>
    <row r="13" spans="4:6" x14ac:dyDescent="0.3">
      <c r="D13">
        <v>12</v>
      </c>
      <c r="E13" t="s">
        <v>42</v>
      </c>
      <c r="F13">
        <v>5778</v>
      </c>
    </row>
    <row r="14" spans="4:6" x14ac:dyDescent="0.3">
      <c r="D14">
        <v>13</v>
      </c>
      <c r="E14" t="s">
        <v>43</v>
      </c>
      <c r="F14">
        <v>835</v>
      </c>
    </row>
    <row r="15" spans="4:6" x14ac:dyDescent="0.3">
      <c r="D15">
        <v>14</v>
      </c>
      <c r="E15" t="s">
        <v>25</v>
      </c>
      <c r="F15">
        <v>4040</v>
      </c>
    </row>
    <row r="16" spans="4:6" x14ac:dyDescent="0.3">
      <c r="D16">
        <v>15</v>
      </c>
      <c r="E16" t="s">
        <v>36</v>
      </c>
      <c r="F16">
        <v>5859</v>
      </c>
    </row>
    <row r="17" spans="4:6" x14ac:dyDescent="0.3">
      <c r="D17">
        <v>16</v>
      </c>
      <c r="E17" t="s">
        <v>12</v>
      </c>
      <c r="F17">
        <v>964</v>
      </c>
    </row>
    <row r="18" spans="4:6" x14ac:dyDescent="0.3">
      <c r="D18">
        <v>17</v>
      </c>
      <c r="E18" t="s">
        <v>17</v>
      </c>
      <c r="F18">
        <v>2733</v>
      </c>
    </row>
    <row r="19" spans="4:6" x14ac:dyDescent="0.3">
      <c r="D19">
        <v>18</v>
      </c>
      <c r="E19" t="s">
        <v>17</v>
      </c>
      <c r="F19">
        <v>5790</v>
      </c>
    </row>
    <row r="20" spans="4:6" x14ac:dyDescent="0.3">
      <c r="D20">
        <v>19</v>
      </c>
      <c r="E20" t="s">
        <v>38</v>
      </c>
      <c r="F20">
        <v>7812</v>
      </c>
    </row>
    <row r="21" spans="4:6" x14ac:dyDescent="0.3">
      <c r="D21">
        <v>20</v>
      </c>
      <c r="E21" t="s">
        <v>38</v>
      </c>
      <c r="F21">
        <v>1692</v>
      </c>
    </row>
  </sheetData>
  <conditionalFormatting sqref="F22:F1048576">
    <cfRule type="colorScale" priority="1">
      <colorScale>
        <cfvo type="min"/>
        <cfvo type="max"/>
        <color rgb="FF92D050"/>
        <color theme="1" tint="4.9989318521683403E-2"/>
      </colorScale>
    </cfRule>
    <cfRule type="dataBar" priority="2">
      <dataBar>
        <cfvo type="min"/>
        <cfvo type="max"/>
        <color rgb="FF008AEF"/>
      </dataBar>
      <extLst>
        <ext xmlns:x14="http://schemas.microsoft.com/office/spreadsheetml/2009/9/main" uri="{B025F937-C7B1-47D3-B67F-A62EFF666E3E}">
          <x14:id>{F04FF87F-537F-4509-B239-438F81D62ECA}</x14:id>
        </ext>
      </extLst>
    </cfRule>
    <cfRule type="top10" dxfId="1" priority="3" rank="5"/>
    <cfRule type="cellIs" dxfId="0" priority="4" operator="greaterThan">
      <formula>7000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04FF87F-537F-4509-B239-438F81D62ECA}">
            <x14:dataBar minLength="0" maxLength="100" gradient="0">
              <x14:cfvo type="autoMin"/>
              <x14:cfvo type="autoMax"/>
              <x14:negativeFillColor rgb="FFFF0000"/>
              <x14:axisColor rgb="FF000000"/>
            </x14:dataBar>
          </x14:cfRule>
          <xm:sqref>F22:F1048576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F7DC8B2-EBAE-4A16-9340-B022E0751447}">
  <ds:schemaRefs/>
</ds:datastoreItem>
</file>

<file path=customXml/itemProps2.xml><?xml version="1.0" encoding="utf-8"?>
<ds:datastoreItem xmlns:ds="http://schemas.openxmlformats.org/officeDocument/2006/customXml" ds:itemID="{5740A0B1-3E6E-427C-B5A2-D0F60D050E84}">
  <ds:schemaRefs/>
</ds:datastoreItem>
</file>

<file path=customXml/itemProps3.xml><?xml version="1.0" encoding="utf-8"?>
<ds:datastoreItem xmlns:ds="http://schemas.openxmlformats.org/officeDocument/2006/customXml" ds:itemID="{7EF03A49-5E3E-4F39-BE25-FAFE02788FE5}">
  <ds:schemaRefs/>
</ds:datastoreItem>
</file>

<file path=customXml/itemProps4.xml><?xml version="1.0" encoding="utf-8"?>
<ds:datastoreItem xmlns:ds="http://schemas.openxmlformats.org/officeDocument/2006/customXml" ds:itemID="{3A63F1CF-DA23-4DDD-8C79-A510478C560B}">
  <ds:schemaRefs/>
</ds:datastoreItem>
</file>

<file path=customXml/itemProps5.xml><?xml version="1.0" encoding="utf-8"?>
<ds:datastoreItem xmlns:ds="http://schemas.openxmlformats.org/officeDocument/2006/customXml" ds:itemID="{ADD91631-79EF-4BD3-A058-DAB5E1873427}">
  <ds:schemaRefs/>
</ds:datastoreItem>
</file>

<file path=customXml/itemProps6.xml><?xml version="1.0" encoding="utf-8"?>
<ds:datastoreItem xmlns:ds="http://schemas.openxmlformats.org/officeDocument/2006/customXml" ds:itemID="{9E2C20B5-585E-4ECD-A081-AA065B3E3E49}">
  <ds:schemaRefs/>
</ds:datastoreItem>
</file>

<file path=customXml/itemProps7.xml><?xml version="1.0" encoding="utf-8"?>
<ds:datastoreItem xmlns:ds="http://schemas.openxmlformats.org/officeDocument/2006/customXml" ds:itemID="{F1F21135-84A1-423C-BCE1-C357452DA3FE}">
  <ds:schemaRefs/>
</ds:datastoreItem>
</file>

<file path=customXml/itemProps8.xml><?xml version="1.0" encoding="utf-8"?>
<ds:datastoreItem xmlns:ds="http://schemas.openxmlformats.org/officeDocument/2006/customXml" ds:itemID="{3C86F68A-DB13-4632-B07E-7CC3D962F881}">
  <ds:schemaRefs/>
</ds:datastoreItem>
</file>

<file path=customXml/itemProps9.xml><?xml version="1.0" encoding="utf-8"?>
<ds:datastoreItem xmlns:ds="http://schemas.openxmlformats.org/officeDocument/2006/customXml" ds:itemID="{85A93E72-B6C7-455B-8CDD-0377446B3B6D}">
  <ds:schemaRefs/>
</ds:datastoreItem>
</file>

<file path=customXml/itemProps10.xml><?xml version="1.0" encoding="utf-8"?>
<ds:datastoreItem xmlns:ds="http://schemas.openxmlformats.org/officeDocument/2006/customXml" ds:itemID="{796C267D-D8F5-4C32-921C-74B41014F308}">
  <ds:schemaRefs/>
</ds:datastoreItem>
</file>

<file path=customXml/itemProps11.xml><?xml version="1.0" encoding="utf-8"?>
<ds:datastoreItem xmlns:ds="http://schemas.openxmlformats.org/officeDocument/2006/customXml" ds:itemID="{F05E5E0B-751C-4105-AD67-764FDB2AEEBD}">
  <ds:schemaRefs/>
</ds:datastoreItem>
</file>

<file path=customXml/itemProps12.xml><?xml version="1.0" encoding="utf-8"?>
<ds:datastoreItem xmlns:ds="http://schemas.openxmlformats.org/officeDocument/2006/customXml" ds:itemID="{91D2252B-48E8-4247-B15B-784CC394DF9B}">
  <ds:schemaRefs/>
</ds:datastoreItem>
</file>

<file path=customXml/itemProps13.xml><?xml version="1.0" encoding="utf-8"?>
<ds:datastoreItem xmlns:ds="http://schemas.openxmlformats.org/officeDocument/2006/customXml" ds:itemID="{A829BD2A-CED2-4105-84EB-E82797D413CD}">
  <ds:schemaRefs/>
</ds:datastoreItem>
</file>

<file path=customXml/itemProps14.xml><?xml version="1.0" encoding="utf-8"?>
<ds:datastoreItem xmlns:ds="http://schemas.openxmlformats.org/officeDocument/2006/customXml" ds:itemID="{57B28322-0455-47AF-8954-A7C81477850D}">
  <ds:schemaRefs/>
</ds:datastoreItem>
</file>

<file path=customXml/itemProps15.xml><?xml version="1.0" encoding="utf-8"?>
<ds:datastoreItem xmlns:ds="http://schemas.openxmlformats.org/officeDocument/2006/customXml" ds:itemID="{56E70EA7-6249-4CA0-B4C2-CD9669F23A66}">
  <ds:schemaRefs/>
</ds:datastoreItem>
</file>

<file path=customXml/itemProps16.xml><?xml version="1.0" encoding="utf-8"?>
<ds:datastoreItem xmlns:ds="http://schemas.openxmlformats.org/officeDocument/2006/customXml" ds:itemID="{89BEC966-A464-4A99-98C0-FE1DE54A6928}">
  <ds:schemaRefs/>
</ds:datastoreItem>
</file>

<file path=customXml/itemProps17.xml><?xml version="1.0" encoding="utf-8"?>
<ds:datastoreItem xmlns:ds="http://schemas.openxmlformats.org/officeDocument/2006/customXml" ds:itemID="{ED063F66-A59D-48CE-8C39-A722F09671D1}">
  <ds:schemaRefs/>
</ds:datastoreItem>
</file>

<file path=customXml/itemProps18.xml><?xml version="1.0" encoding="utf-8"?>
<ds:datastoreItem xmlns:ds="http://schemas.openxmlformats.org/officeDocument/2006/customXml" ds:itemID="{11AC7387-71F1-4A5E-8338-70D4E7053E17}">
  <ds:schemaRefs/>
</ds:datastoreItem>
</file>

<file path=customXml/itemProps19.xml><?xml version="1.0" encoding="utf-8"?>
<ds:datastoreItem xmlns:ds="http://schemas.openxmlformats.org/officeDocument/2006/customXml" ds:itemID="{04A7B0B8-425D-4EE7-BAC5-78CB019032D9}">
  <ds:schemaRefs/>
</ds:datastoreItem>
</file>

<file path=customXml/itemProps20.xml><?xml version="1.0" encoding="utf-8"?>
<ds:datastoreItem xmlns:ds="http://schemas.openxmlformats.org/officeDocument/2006/customXml" ds:itemID="{AE8EFE33-AE5B-4F47-A016-C815C2FD4783}">
  <ds:schemaRefs/>
</ds:datastoreItem>
</file>

<file path=customXml/itemProps21.xml><?xml version="1.0" encoding="utf-8"?>
<ds:datastoreItem xmlns:ds="http://schemas.openxmlformats.org/officeDocument/2006/customXml" ds:itemID="{B566AD89-F592-44FA-AD20-94013CD0D2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KPIs Visuals</vt:lpstr>
      <vt:lpstr>Dashboard</vt:lpstr>
      <vt:lpstr>Line Chart</vt:lpstr>
      <vt:lpstr>Bar Chart</vt:lpstr>
      <vt:lpstr>Stacked Column Chart</vt:lpstr>
      <vt:lpstr>Sheet3</vt:lpstr>
      <vt:lpstr>Area Chart</vt:lpstr>
      <vt:lpstr>Pie Chart</vt:lpstr>
      <vt:lpstr>Sheet12</vt:lpstr>
      <vt:lpstr>Main Data</vt:lpstr>
      <vt:lpstr>Sheet15</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Jadon</dc:creator>
  <cp:lastModifiedBy>Rajat Jadon</cp:lastModifiedBy>
  <dcterms:created xsi:type="dcterms:W3CDTF">2026-07-01T15:29:41Z</dcterms:created>
  <dcterms:modified xsi:type="dcterms:W3CDTF">2026-07-01T18:05:50Z</dcterms:modified>
</cp:coreProperties>
</file>